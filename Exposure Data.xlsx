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obamushia/Desktop/"/>
    </mc:Choice>
  </mc:AlternateContent>
  <xr:revisionPtr revIDLastSave="0" documentId="13_ncr:1_{88146E98-8472-8F40-9E1B-F88994857630}" xr6:coauthVersionLast="47" xr6:coauthVersionMax="47" xr10:uidLastSave="{00000000-0000-0000-0000-000000000000}"/>
  <bookViews>
    <workbookView xWindow="0" yWindow="500" windowWidth="28800" windowHeight="16280" xr2:uid="{BA24561B-9B13-B941-88E5-A80D79425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33" i="1"/>
  <c r="F41" i="1"/>
  <c r="G41" i="1" s="1"/>
  <c r="F73" i="1"/>
  <c r="G73" i="1" s="1"/>
  <c r="F81" i="1"/>
  <c r="G81" i="1" s="1"/>
  <c r="F82" i="1"/>
  <c r="G82" i="1" s="1"/>
  <c r="F97" i="1"/>
  <c r="F105" i="1"/>
  <c r="G105" i="1" s="1"/>
  <c r="F113" i="1"/>
  <c r="F115" i="1"/>
  <c r="G115" i="1" s="1"/>
  <c r="F121" i="1"/>
  <c r="G121" i="1" s="1"/>
  <c r="F123" i="1"/>
  <c r="G123" i="1" s="1"/>
  <c r="F131" i="1"/>
  <c r="G131" i="1" s="1"/>
  <c r="F133" i="1"/>
  <c r="F145" i="1"/>
  <c r="G145" i="1" s="1"/>
  <c r="F153" i="1"/>
  <c r="G153" i="1" s="1"/>
  <c r="F163" i="1"/>
  <c r="G163" i="1" s="1"/>
  <c r="F165" i="1"/>
  <c r="F177" i="1"/>
  <c r="G177" i="1" s="1"/>
  <c r="F187" i="1"/>
  <c r="F195" i="1"/>
  <c r="F197" i="1"/>
  <c r="E48" i="1"/>
  <c r="E51" i="1"/>
  <c r="E54" i="1"/>
  <c r="E56" i="1"/>
  <c r="E70" i="1"/>
  <c r="E75" i="1"/>
  <c r="E81" i="1"/>
  <c r="E86" i="1"/>
  <c r="E88" i="1"/>
  <c r="E98" i="1"/>
  <c r="E106" i="1"/>
  <c r="E115" i="1"/>
  <c r="E117" i="1"/>
  <c r="E123" i="1"/>
  <c r="E125" i="1"/>
  <c r="E136" i="1"/>
  <c r="E137" i="1"/>
  <c r="E138" i="1"/>
  <c r="E147" i="1"/>
  <c r="E149" i="1"/>
  <c r="E156" i="1"/>
  <c r="E160" i="1"/>
  <c r="E163" i="1"/>
  <c r="E166" i="1"/>
  <c r="E168" i="1"/>
  <c r="E177" i="1"/>
  <c r="E179" i="1"/>
  <c r="E196" i="1"/>
  <c r="E5" i="1"/>
  <c r="E13" i="1"/>
  <c r="D20" i="1"/>
  <c r="E20" i="1" s="1"/>
  <c r="D21" i="1"/>
  <c r="E21" i="1" s="1"/>
  <c r="D22" i="1"/>
  <c r="E22" i="1" s="1"/>
  <c r="D23" i="1"/>
  <c r="F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F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F48" i="1" s="1"/>
  <c r="G48" i="1" s="1"/>
  <c r="D49" i="1"/>
  <c r="E49" i="1" s="1"/>
  <c r="D50" i="1"/>
  <c r="F50" i="1" s="1"/>
  <c r="D51" i="1"/>
  <c r="F51" i="1" s="1"/>
  <c r="D52" i="1"/>
  <c r="F52" i="1" s="1"/>
  <c r="D53" i="1"/>
  <c r="F53" i="1" s="1"/>
  <c r="D54" i="1"/>
  <c r="F54" i="1" s="1"/>
  <c r="G54" i="1" s="1"/>
  <c r="D55" i="1"/>
  <c r="F55" i="1" s="1"/>
  <c r="D56" i="1"/>
  <c r="F56" i="1" s="1"/>
  <c r="G56" i="1" s="1"/>
  <c r="D57" i="1"/>
  <c r="F57" i="1" s="1"/>
  <c r="D58" i="1"/>
  <c r="E58" i="1" s="1"/>
  <c r="D59" i="1"/>
  <c r="E59" i="1" s="1"/>
  <c r="D60" i="1"/>
  <c r="F60" i="1" s="1"/>
  <c r="D61" i="1"/>
  <c r="F61" i="1" s="1"/>
  <c r="D62" i="1"/>
  <c r="E62" i="1" s="1"/>
  <c r="D63" i="1"/>
  <c r="F63" i="1" s="1"/>
  <c r="D64" i="1"/>
  <c r="E64" i="1" s="1"/>
  <c r="D65" i="1"/>
  <c r="F65" i="1" s="1"/>
  <c r="D66" i="1"/>
  <c r="E66" i="1" s="1"/>
  <c r="D67" i="1"/>
  <c r="E67" i="1" s="1"/>
  <c r="D68" i="1"/>
  <c r="E68" i="1" s="1"/>
  <c r="D69" i="1"/>
  <c r="E69" i="1" s="1"/>
  <c r="D70" i="1"/>
  <c r="F70" i="1" s="1"/>
  <c r="D71" i="1"/>
  <c r="E71" i="1" s="1"/>
  <c r="D72" i="1"/>
  <c r="E72" i="1" s="1"/>
  <c r="D73" i="1"/>
  <c r="E73" i="1" s="1"/>
  <c r="D74" i="1"/>
  <c r="E74" i="1" s="1"/>
  <c r="D75" i="1"/>
  <c r="F75" i="1" s="1"/>
  <c r="G75" i="1" s="1"/>
  <c r="D76" i="1"/>
  <c r="F76" i="1" s="1"/>
  <c r="D77" i="1"/>
  <c r="E77" i="1" s="1"/>
  <c r="D78" i="1"/>
  <c r="E78" i="1" s="1"/>
  <c r="D79" i="1"/>
  <c r="F79" i="1" s="1"/>
  <c r="D80" i="1"/>
  <c r="F80" i="1" s="1"/>
  <c r="D81" i="1"/>
  <c r="D82" i="1"/>
  <c r="E82" i="1" s="1"/>
  <c r="D83" i="1"/>
  <c r="E83" i="1" s="1"/>
  <c r="D84" i="1"/>
  <c r="E84" i="1" s="1"/>
  <c r="D85" i="1"/>
  <c r="F85" i="1" s="1"/>
  <c r="D86" i="1"/>
  <c r="F86" i="1" s="1"/>
  <c r="D87" i="1"/>
  <c r="E87" i="1" s="1"/>
  <c r="D88" i="1"/>
  <c r="F88" i="1" s="1"/>
  <c r="D89" i="1"/>
  <c r="E89" i="1" s="1"/>
  <c r="D90" i="1"/>
  <c r="F90" i="1" s="1"/>
  <c r="D91" i="1"/>
  <c r="F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G97" i="1" s="1"/>
  <c r="D98" i="1"/>
  <c r="F98" i="1" s="1"/>
  <c r="D99" i="1"/>
  <c r="E99" i="1" s="1"/>
  <c r="D100" i="1"/>
  <c r="F100" i="1" s="1"/>
  <c r="D101" i="1"/>
  <c r="E101" i="1" s="1"/>
  <c r="D102" i="1"/>
  <c r="E102" i="1" s="1"/>
  <c r="D103" i="1"/>
  <c r="F103" i="1" s="1"/>
  <c r="D104" i="1"/>
  <c r="F104" i="1" s="1"/>
  <c r="D105" i="1"/>
  <c r="E105" i="1" s="1"/>
  <c r="D106" i="1"/>
  <c r="F106" i="1" s="1"/>
  <c r="D107" i="1"/>
  <c r="E107" i="1" s="1"/>
  <c r="D108" i="1"/>
  <c r="E108" i="1" s="1"/>
  <c r="D109" i="1"/>
  <c r="E109" i="1" s="1"/>
  <c r="D110" i="1"/>
  <c r="F110" i="1" s="1"/>
  <c r="D111" i="1"/>
  <c r="F111" i="1" s="1"/>
  <c r="D112" i="1"/>
  <c r="E112" i="1" s="1"/>
  <c r="D113" i="1"/>
  <c r="E113" i="1" s="1"/>
  <c r="D114" i="1"/>
  <c r="E114" i="1" s="1"/>
  <c r="D115" i="1"/>
  <c r="D116" i="1"/>
  <c r="E116" i="1" s="1"/>
  <c r="D117" i="1"/>
  <c r="F117" i="1" s="1"/>
  <c r="G117" i="1" s="1"/>
  <c r="D118" i="1"/>
  <c r="F118" i="1" s="1"/>
  <c r="D119" i="1"/>
  <c r="F119" i="1" s="1"/>
  <c r="D120" i="1"/>
  <c r="E120" i="1" s="1"/>
  <c r="D121" i="1"/>
  <c r="E121" i="1" s="1"/>
  <c r="D122" i="1"/>
  <c r="E122" i="1" s="1"/>
  <c r="D123" i="1"/>
  <c r="D124" i="1"/>
  <c r="E124" i="1" s="1"/>
  <c r="D125" i="1"/>
  <c r="F125" i="1" s="1"/>
  <c r="G125" i="1" s="1"/>
  <c r="D126" i="1"/>
  <c r="F126" i="1" s="1"/>
  <c r="D127" i="1"/>
  <c r="F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F136" i="1" s="1"/>
  <c r="G136" i="1" s="1"/>
  <c r="D137" i="1"/>
  <c r="F137" i="1" s="1"/>
  <c r="G137" i="1" s="1"/>
  <c r="D138" i="1"/>
  <c r="F138" i="1" s="1"/>
  <c r="G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E144" i="1" s="1"/>
  <c r="D145" i="1"/>
  <c r="E145" i="1" s="1"/>
  <c r="D146" i="1"/>
  <c r="E146" i="1" s="1"/>
  <c r="D147" i="1"/>
  <c r="F147" i="1" s="1"/>
  <c r="G147" i="1" s="1"/>
  <c r="D148" i="1"/>
  <c r="F148" i="1" s="1"/>
  <c r="D149" i="1"/>
  <c r="F149" i="1" s="1"/>
  <c r="G149" i="1" s="1"/>
  <c r="D150" i="1"/>
  <c r="F150" i="1" s="1"/>
  <c r="D151" i="1"/>
  <c r="F151" i="1" s="1"/>
  <c r="D152" i="1"/>
  <c r="E152" i="1" s="1"/>
  <c r="D153" i="1"/>
  <c r="E153" i="1" s="1"/>
  <c r="D154" i="1"/>
  <c r="E154" i="1" s="1"/>
  <c r="D155" i="1"/>
  <c r="F155" i="1" s="1"/>
  <c r="D156" i="1"/>
  <c r="F156" i="1" s="1"/>
  <c r="D157" i="1"/>
  <c r="F157" i="1" s="1"/>
  <c r="D158" i="1"/>
  <c r="F158" i="1" s="1"/>
  <c r="D159" i="1"/>
  <c r="E159" i="1" s="1"/>
  <c r="D160" i="1"/>
  <c r="F160" i="1" s="1"/>
  <c r="G160" i="1" s="1"/>
  <c r="D161" i="1"/>
  <c r="F161" i="1" s="1"/>
  <c r="D162" i="1"/>
  <c r="F162" i="1" s="1"/>
  <c r="D163" i="1"/>
  <c r="D164" i="1"/>
  <c r="E164" i="1" s="1"/>
  <c r="D165" i="1"/>
  <c r="E165" i="1" s="1"/>
  <c r="D166" i="1"/>
  <c r="F166" i="1" s="1"/>
  <c r="G166" i="1" s="1"/>
  <c r="D167" i="1"/>
  <c r="E167" i="1" s="1"/>
  <c r="D168" i="1"/>
  <c r="F168" i="1" s="1"/>
  <c r="G168" i="1" s="1"/>
  <c r="D169" i="1"/>
  <c r="F169" i="1" s="1"/>
  <c r="D170" i="1"/>
  <c r="E170" i="1" s="1"/>
  <c r="D171" i="1"/>
  <c r="F171" i="1" s="1"/>
  <c r="D172" i="1"/>
  <c r="F172" i="1" s="1"/>
  <c r="D173" i="1"/>
  <c r="F173" i="1" s="1"/>
  <c r="D174" i="1"/>
  <c r="E174" i="1" s="1"/>
  <c r="D175" i="1"/>
  <c r="E175" i="1" s="1"/>
  <c r="D176" i="1"/>
  <c r="E176" i="1" s="1"/>
  <c r="D177" i="1"/>
  <c r="D178" i="1"/>
  <c r="E178" i="1" s="1"/>
  <c r="D179" i="1"/>
  <c r="F179" i="1" s="1"/>
  <c r="G179" i="1" s="1"/>
  <c r="D180" i="1"/>
  <c r="F180" i="1" s="1"/>
  <c r="D181" i="1"/>
  <c r="F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E195" i="1" s="1"/>
  <c r="D196" i="1"/>
  <c r="F196" i="1" s="1"/>
  <c r="G196" i="1" s="1"/>
  <c r="D197" i="1"/>
  <c r="E197" i="1" s="1"/>
  <c r="D198" i="1"/>
  <c r="F198" i="1" s="1"/>
  <c r="D199" i="1"/>
  <c r="E199" i="1" s="1"/>
  <c r="D200" i="1"/>
  <c r="F200" i="1" s="1"/>
  <c r="D201" i="1"/>
  <c r="F201" i="1" s="1"/>
  <c r="D17" i="1"/>
  <c r="F17" i="1" s="1"/>
  <c r="F18" i="1"/>
  <c r="D19" i="1"/>
  <c r="E19" i="1" s="1"/>
  <c r="D16" i="1"/>
  <c r="F16" i="1" s="1"/>
  <c r="D3" i="1"/>
  <c r="E3" i="1" s="1"/>
  <c r="D4" i="1"/>
  <c r="E4" i="1" s="1"/>
  <c r="D5" i="1"/>
  <c r="F5" i="1" s="1"/>
  <c r="G5" i="1" s="1"/>
  <c r="D6" i="1"/>
  <c r="F6" i="1" s="1"/>
  <c r="D7" i="1"/>
  <c r="F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F13" i="1" s="1"/>
  <c r="G13" i="1" s="1"/>
  <c r="D15" i="1"/>
  <c r="F15" i="1" s="1"/>
  <c r="B2" i="1"/>
  <c r="D2" i="1" s="1"/>
  <c r="F2" i="1" s="1"/>
  <c r="D14" i="1"/>
  <c r="F14" i="1" s="1"/>
  <c r="G190" i="1" l="1"/>
  <c r="G94" i="1"/>
  <c r="G46" i="1"/>
  <c r="G197" i="1"/>
  <c r="G133" i="1"/>
  <c r="G191" i="1"/>
  <c r="G79" i="1"/>
  <c r="G198" i="1"/>
  <c r="G118" i="1"/>
  <c r="G148" i="1"/>
  <c r="G119" i="1"/>
  <c r="G180" i="1"/>
  <c r="G52" i="1"/>
  <c r="G14" i="1"/>
  <c r="G7" i="1"/>
  <c r="G57" i="1"/>
  <c r="G165" i="1"/>
  <c r="G33" i="1"/>
  <c r="G113" i="1"/>
  <c r="G25" i="1"/>
  <c r="G71" i="1"/>
  <c r="E31" i="1"/>
  <c r="G31" i="1" s="1"/>
  <c r="E16" i="1"/>
  <c r="G16" i="1" s="1"/>
  <c r="E7" i="1"/>
  <c r="E198" i="1"/>
  <c r="E181" i="1"/>
  <c r="G181" i="1" s="1"/>
  <c r="E173" i="1"/>
  <c r="G173" i="1" s="1"/>
  <c r="E162" i="1"/>
  <c r="G162" i="1" s="1"/>
  <c r="E151" i="1"/>
  <c r="G151" i="1" s="1"/>
  <c r="E143" i="1"/>
  <c r="G143" i="1" s="1"/>
  <c r="E127" i="1"/>
  <c r="G127" i="1" s="1"/>
  <c r="E119" i="1"/>
  <c r="E111" i="1"/>
  <c r="G111" i="1" s="1"/>
  <c r="E90" i="1"/>
  <c r="E80" i="1"/>
  <c r="G80" i="1" s="1"/>
  <c r="E63" i="1"/>
  <c r="G63" i="1" s="1"/>
  <c r="E50" i="1"/>
  <c r="G50" i="1" s="1"/>
  <c r="F199" i="1"/>
  <c r="G199" i="1" s="1"/>
  <c r="F189" i="1"/>
  <c r="G189" i="1" s="1"/>
  <c r="F167" i="1"/>
  <c r="G167" i="1" s="1"/>
  <c r="F159" i="1"/>
  <c r="G159" i="1" s="1"/>
  <c r="F135" i="1"/>
  <c r="G135" i="1" s="1"/>
  <c r="F108" i="1"/>
  <c r="G108" i="1" s="1"/>
  <c r="F89" i="1"/>
  <c r="G89" i="1" s="1"/>
  <c r="F62" i="1"/>
  <c r="G62" i="1" s="1"/>
  <c r="F49" i="1"/>
  <c r="G49" i="1" s="1"/>
  <c r="F40" i="1"/>
  <c r="G40" i="1" s="1"/>
  <c r="F32" i="1"/>
  <c r="G32" i="1" s="1"/>
  <c r="F24" i="1"/>
  <c r="G24" i="1" s="1"/>
  <c r="F12" i="1"/>
  <c r="G12" i="1" s="1"/>
  <c r="F4" i="1"/>
  <c r="G4" i="1" s="1"/>
  <c r="E23" i="1"/>
  <c r="G23" i="1" s="1"/>
  <c r="G184" i="1"/>
  <c r="G88" i="1"/>
  <c r="E14" i="1"/>
  <c r="E6" i="1"/>
  <c r="G6" i="1" s="1"/>
  <c r="E180" i="1"/>
  <c r="E169" i="1"/>
  <c r="G169" i="1" s="1"/>
  <c r="E161" i="1"/>
  <c r="G161" i="1" s="1"/>
  <c r="E150" i="1"/>
  <c r="G150" i="1" s="1"/>
  <c r="E141" i="1"/>
  <c r="G141" i="1" s="1"/>
  <c r="E126" i="1"/>
  <c r="G126" i="1" s="1"/>
  <c r="E118" i="1"/>
  <c r="E110" i="1"/>
  <c r="G110" i="1" s="1"/>
  <c r="E79" i="1"/>
  <c r="E57" i="1"/>
  <c r="F188" i="1"/>
  <c r="F178" i="1"/>
  <c r="G178" i="1" s="1"/>
  <c r="F154" i="1"/>
  <c r="G154" i="1" s="1"/>
  <c r="F146" i="1"/>
  <c r="G146" i="1" s="1"/>
  <c r="F134" i="1"/>
  <c r="G134" i="1" s="1"/>
  <c r="F124" i="1"/>
  <c r="G124" i="1" s="1"/>
  <c r="F116" i="1"/>
  <c r="G116" i="1" s="1"/>
  <c r="F107" i="1"/>
  <c r="G107" i="1" s="1"/>
  <c r="F87" i="1"/>
  <c r="G87" i="1" s="1"/>
  <c r="F74" i="1"/>
  <c r="G74" i="1" s="1"/>
  <c r="F39" i="1"/>
  <c r="G39" i="1" s="1"/>
  <c r="F11" i="1"/>
  <c r="G11" i="1" s="1"/>
  <c r="F3" i="1"/>
  <c r="G3" i="1" s="1"/>
  <c r="F46" i="1"/>
  <c r="F38" i="1"/>
  <c r="G38" i="1" s="1"/>
  <c r="F30" i="1"/>
  <c r="G30" i="1" s="1"/>
  <c r="F22" i="1"/>
  <c r="G22" i="1" s="1"/>
  <c r="F10" i="1"/>
  <c r="G10" i="1" s="1"/>
  <c r="G86" i="1"/>
  <c r="G70" i="1"/>
  <c r="E192" i="1"/>
  <c r="G192" i="1" s="1"/>
  <c r="E148" i="1"/>
  <c r="E103" i="1"/>
  <c r="E55" i="1"/>
  <c r="G55" i="1" s="1"/>
  <c r="F184" i="1"/>
  <c r="F176" i="1"/>
  <c r="G176" i="1" s="1"/>
  <c r="F164" i="1"/>
  <c r="G164" i="1" s="1"/>
  <c r="F152" i="1"/>
  <c r="G152" i="1" s="1"/>
  <c r="F144" i="1"/>
  <c r="G144" i="1" s="1"/>
  <c r="F132" i="1"/>
  <c r="F122" i="1"/>
  <c r="G122" i="1" s="1"/>
  <c r="F114" i="1"/>
  <c r="G114" i="1" s="1"/>
  <c r="F71" i="1"/>
  <c r="F45" i="1"/>
  <c r="G45" i="1" s="1"/>
  <c r="F37" i="1"/>
  <c r="G37" i="1" s="1"/>
  <c r="F29" i="1"/>
  <c r="G29" i="1" s="1"/>
  <c r="F21" i="1"/>
  <c r="G21" i="1" s="1"/>
  <c r="F9" i="1"/>
  <c r="G9" i="1" s="1"/>
  <c r="F68" i="1"/>
  <c r="G68" i="1" s="1"/>
  <c r="F44" i="1"/>
  <c r="G44" i="1" s="1"/>
  <c r="F36" i="1"/>
  <c r="G36" i="1" s="1"/>
  <c r="F28" i="1"/>
  <c r="G28" i="1" s="1"/>
  <c r="F19" i="1"/>
  <c r="G19" i="1" s="1"/>
  <c r="F8" i="1"/>
  <c r="G8" i="1" s="1"/>
  <c r="G188" i="1"/>
  <c r="G156" i="1"/>
  <c r="E201" i="1"/>
  <c r="G201" i="1" s="1"/>
  <c r="E190" i="1"/>
  <c r="E85" i="1"/>
  <c r="E53" i="1"/>
  <c r="G53" i="1" s="1"/>
  <c r="F182" i="1"/>
  <c r="G182" i="1" s="1"/>
  <c r="F174" i="1"/>
  <c r="G174" i="1" s="1"/>
  <c r="F129" i="1"/>
  <c r="G129" i="1" s="1"/>
  <c r="F120" i="1"/>
  <c r="G120" i="1" s="1"/>
  <c r="F112" i="1"/>
  <c r="G112" i="1" s="1"/>
  <c r="F96" i="1"/>
  <c r="G96" i="1" s="1"/>
  <c r="F66" i="1"/>
  <c r="G66" i="1" s="1"/>
  <c r="F43" i="1"/>
  <c r="G43" i="1" s="1"/>
  <c r="F35" i="1"/>
  <c r="G35" i="1" s="1"/>
  <c r="F27" i="1"/>
  <c r="G27" i="1" s="1"/>
  <c r="G85" i="1"/>
  <c r="E191" i="1"/>
  <c r="G98" i="1"/>
  <c r="F183" i="1"/>
  <c r="G183" i="1" s="1"/>
  <c r="F175" i="1"/>
  <c r="G175" i="1" s="1"/>
  <c r="G187" i="1"/>
  <c r="G51" i="1"/>
  <c r="E2" i="1"/>
  <c r="G2" i="1" s="1"/>
  <c r="E200" i="1"/>
  <c r="G200" i="1" s="1"/>
  <c r="E52" i="1"/>
  <c r="F94" i="1"/>
  <c r="F78" i="1"/>
  <c r="G78" i="1" s="1"/>
  <c r="F64" i="1"/>
  <c r="G64" i="1" s="1"/>
  <c r="F42" i="1"/>
  <c r="G42" i="1" s="1"/>
  <c r="F34" i="1"/>
  <c r="G34" i="1" s="1"/>
  <c r="F26" i="1"/>
  <c r="G26" i="1" s="1"/>
  <c r="G103" i="1"/>
  <c r="G106" i="1"/>
  <c r="G90" i="1"/>
  <c r="F92" i="1"/>
  <c r="G92" i="1" s="1"/>
  <c r="F77" i="1"/>
  <c r="G77" i="1" s="1"/>
  <c r="E15" i="1"/>
  <c r="G15" i="1" s="1"/>
  <c r="G195" i="1"/>
  <c r="E194" i="1"/>
  <c r="G194" i="1" s="1"/>
  <c r="E193" i="1"/>
  <c r="G193" i="1" s="1"/>
  <c r="F186" i="1"/>
  <c r="G186" i="1" s="1"/>
  <c r="F185" i="1"/>
  <c r="G185" i="1" s="1"/>
  <c r="E172" i="1"/>
  <c r="G172" i="1" s="1"/>
  <c r="E171" i="1"/>
  <c r="G171" i="1" s="1"/>
  <c r="F170" i="1"/>
  <c r="G170" i="1" s="1"/>
  <c r="E158" i="1"/>
  <c r="G158" i="1" s="1"/>
  <c r="E157" i="1"/>
  <c r="G157" i="1" s="1"/>
  <c r="E155" i="1"/>
  <c r="G155" i="1" s="1"/>
  <c r="E142" i="1"/>
  <c r="G142" i="1" s="1"/>
  <c r="E140" i="1"/>
  <c r="G140" i="1" s="1"/>
  <c r="E139" i="1"/>
  <c r="G139" i="1" s="1"/>
  <c r="G132" i="1"/>
  <c r="F130" i="1"/>
  <c r="G130" i="1" s="1"/>
  <c r="F128" i="1"/>
  <c r="G128" i="1" s="1"/>
  <c r="F109" i="1"/>
  <c r="G109" i="1" s="1"/>
  <c r="F20" i="1"/>
  <c r="G20" i="1" s="1"/>
  <c r="E18" i="1"/>
  <c r="G18" i="1" s="1"/>
  <c r="E17" i="1"/>
  <c r="G17" i="1" s="1"/>
  <c r="E104" i="1"/>
  <c r="G104" i="1" s="1"/>
  <c r="F102" i="1"/>
  <c r="G102" i="1" s="1"/>
  <c r="F101" i="1"/>
  <c r="G101" i="1" s="1"/>
  <c r="E100" i="1"/>
  <c r="G100" i="1" s="1"/>
  <c r="F99" i="1"/>
  <c r="G99" i="1" s="1"/>
  <c r="F95" i="1"/>
  <c r="G95" i="1" s="1"/>
  <c r="F93" i="1"/>
  <c r="G93" i="1" s="1"/>
  <c r="E91" i="1"/>
  <c r="G91" i="1" s="1"/>
  <c r="F84" i="1"/>
  <c r="G84" i="1" s="1"/>
  <c r="F83" i="1"/>
  <c r="G83" i="1" s="1"/>
  <c r="E76" i="1"/>
  <c r="G76" i="1" s="1"/>
  <c r="F72" i="1"/>
  <c r="G72" i="1" s="1"/>
  <c r="F69" i="1"/>
  <c r="G69" i="1" s="1"/>
  <c r="F67" i="1"/>
  <c r="G67" i="1" s="1"/>
  <c r="E65" i="1"/>
  <c r="G65" i="1" s="1"/>
  <c r="E61" i="1"/>
  <c r="G61" i="1" s="1"/>
  <c r="E60" i="1"/>
  <c r="G60" i="1" s="1"/>
  <c r="F59" i="1"/>
  <c r="G59" i="1" s="1"/>
  <c r="F58" i="1"/>
  <c r="G58" i="1" s="1"/>
  <c r="F47" i="1"/>
  <c r="G47" i="1" s="1"/>
</calcChain>
</file>

<file path=xl/sharedStrings.xml><?xml version="1.0" encoding="utf-8"?>
<sst xmlns="http://schemas.openxmlformats.org/spreadsheetml/2006/main" count="207" uniqueCount="207">
  <si>
    <t>Ticker</t>
  </si>
  <si>
    <t>3IN.L</t>
  </si>
  <si>
    <t>AAS.L</t>
  </si>
  <si>
    <t>ABDN.L</t>
  </si>
  <si>
    <t>AEP.L</t>
  </si>
  <si>
    <t>AGT.L</t>
  </si>
  <si>
    <t>AO.L</t>
  </si>
  <si>
    <t>ASHM.L</t>
  </si>
  <si>
    <t>ASL.L</t>
  </si>
  <si>
    <t>ATR.L</t>
  </si>
  <si>
    <t>ATT.L</t>
  </si>
  <si>
    <t>ATYM.L</t>
  </si>
  <si>
    <t>AVON.L</t>
  </si>
  <si>
    <t>BAG.L</t>
  </si>
  <si>
    <t>BBOX.L</t>
  </si>
  <si>
    <t>BBY.L</t>
  </si>
  <si>
    <t>BGEO.L</t>
  </si>
  <si>
    <t>BGFD.L</t>
  </si>
  <si>
    <t>BHMG.L</t>
  </si>
  <si>
    <t>BME.L</t>
  </si>
  <si>
    <t>BNKR.L</t>
  </si>
  <si>
    <t>BOY.L</t>
  </si>
  <si>
    <t>BREE.L</t>
  </si>
  <si>
    <t>BRGE.L</t>
  </si>
  <si>
    <t>BRSC.L</t>
  </si>
  <si>
    <t>BRWM.L</t>
  </si>
  <si>
    <t>BSIF.L</t>
  </si>
  <si>
    <t>BUT.L</t>
  </si>
  <si>
    <t>BWY.L</t>
  </si>
  <si>
    <t>BYG.L</t>
  </si>
  <si>
    <t>CBG.L</t>
  </si>
  <si>
    <t>CCC.L</t>
  </si>
  <si>
    <t>CCL.L</t>
  </si>
  <si>
    <t>CCR.L</t>
  </si>
  <si>
    <t>CGT.L</t>
  </si>
  <si>
    <t>CHG.L</t>
  </si>
  <si>
    <t>CKN.L</t>
  </si>
  <si>
    <t>CLDN.L</t>
  </si>
  <si>
    <t>CMCX.L</t>
  </si>
  <si>
    <t>COA.L</t>
  </si>
  <si>
    <t>CSN.L</t>
  </si>
  <si>
    <t>CTY.L</t>
  </si>
  <si>
    <t>CURY.L</t>
  </si>
  <si>
    <t>CWK.L</t>
  </si>
  <si>
    <t>CWR.L</t>
  </si>
  <si>
    <t>DLN.L</t>
  </si>
  <si>
    <t>DNLM.L</t>
  </si>
  <si>
    <t>DOM.L</t>
  </si>
  <si>
    <t>DRX.L</t>
  </si>
  <si>
    <t>DSCV.L</t>
  </si>
  <si>
    <t>ELM.L</t>
  </si>
  <si>
    <t>EMG.L</t>
  </si>
  <si>
    <t>ESCT.L</t>
  </si>
  <si>
    <t>ESP.L</t>
  </si>
  <si>
    <t>EWI.L</t>
  </si>
  <si>
    <t>FAN.L</t>
  </si>
  <si>
    <t>FCSS.L</t>
  </si>
  <si>
    <t>FEML.L</t>
  </si>
  <si>
    <t>FEV.L</t>
  </si>
  <si>
    <t>FGP.L</t>
  </si>
  <si>
    <t>FGT.L</t>
  </si>
  <si>
    <t>FOUR.L</t>
  </si>
  <si>
    <t>FRAS.L</t>
  </si>
  <si>
    <t>FSV.L</t>
  </si>
  <si>
    <t>FUTR.L</t>
  </si>
  <si>
    <t>GAMA.L</t>
  </si>
  <si>
    <t>GBG.L</t>
  </si>
  <si>
    <t>GCP.L</t>
  </si>
  <si>
    <t>GDWN.L</t>
  </si>
  <si>
    <t>GEN.L</t>
  </si>
  <si>
    <t>GFRD.L</t>
  </si>
  <si>
    <t>GFTU.L</t>
  </si>
  <si>
    <t>GNC.L</t>
  </si>
  <si>
    <t>GNS.L</t>
  </si>
  <si>
    <t>GPE.L</t>
  </si>
  <si>
    <t>GRG.L</t>
  </si>
  <si>
    <t>GRI.L</t>
  </si>
  <si>
    <t>GSCT.L</t>
  </si>
  <si>
    <t>HAS.L</t>
  </si>
  <si>
    <t>HFG.L</t>
  </si>
  <si>
    <t>HGT.L</t>
  </si>
  <si>
    <t>HICL.L</t>
  </si>
  <si>
    <t>HILS.L</t>
  </si>
  <si>
    <t>HMSO.L</t>
  </si>
  <si>
    <t>HOC.L</t>
  </si>
  <si>
    <t>HRI.L</t>
  </si>
  <si>
    <t>HSL.L</t>
  </si>
  <si>
    <t>HTG.L</t>
  </si>
  <si>
    <t>HVPE.L</t>
  </si>
  <si>
    <t>HWG.L</t>
  </si>
  <si>
    <t>IAD.L</t>
  </si>
  <si>
    <t>IBST.L</t>
  </si>
  <si>
    <t>ICGT.L</t>
  </si>
  <si>
    <t>IEM.L</t>
  </si>
  <si>
    <t>IGG.L</t>
  </si>
  <si>
    <t>INCH.L</t>
  </si>
  <si>
    <t>INPP.L</t>
  </si>
  <si>
    <t>INVP.L</t>
  </si>
  <si>
    <t>IPF.L</t>
  </si>
  <si>
    <t>IPO.L</t>
  </si>
  <si>
    <t>IWG.L</t>
  </si>
  <si>
    <t>JAM.L</t>
  </si>
  <si>
    <t>JDW.L</t>
  </si>
  <si>
    <t>JEDT.L</t>
  </si>
  <si>
    <t>JEGI.L</t>
  </si>
  <si>
    <t>JFJ.L</t>
  </si>
  <si>
    <t>JGGI.L</t>
  </si>
  <si>
    <t>JII.L</t>
  </si>
  <si>
    <t>JMAT.L</t>
  </si>
  <si>
    <t>JMG.L</t>
  </si>
  <si>
    <t>JSG.L</t>
  </si>
  <si>
    <t>JUP.L</t>
  </si>
  <si>
    <t>JUST.L</t>
  </si>
  <si>
    <t>KIE.L</t>
  </si>
  <si>
    <t>KLR.L</t>
  </si>
  <si>
    <t>KNOS.L</t>
  </si>
  <si>
    <t>LRE.L</t>
  </si>
  <si>
    <t>LWDB.L</t>
  </si>
  <si>
    <t>MAB.L</t>
  </si>
  <si>
    <t>MEGP.L</t>
  </si>
  <si>
    <t>MGAM.L</t>
  </si>
  <si>
    <t>MGNS.L</t>
  </si>
  <si>
    <t>MNKS.L</t>
  </si>
  <si>
    <t>MONY.L</t>
  </si>
  <si>
    <t>MRC.L</t>
  </si>
  <si>
    <t>MRCH.L</t>
  </si>
  <si>
    <t>MSLH.L</t>
  </si>
  <si>
    <t>MTO.L</t>
  </si>
  <si>
    <t>MTRO.L</t>
  </si>
  <si>
    <t>MUT.L</t>
  </si>
  <si>
    <t>MYI.L</t>
  </si>
  <si>
    <t>NAS.L</t>
  </si>
  <si>
    <t>NBPE.L</t>
  </si>
  <si>
    <t>NCC.L</t>
  </si>
  <si>
    <t>OCDO.L</t>
  </si>
  <si>
    <t>OCI.L</t>
  </si>
  <si>
    <t>OSB.L</t>
  </si>
  <si>
    <t>OXB.L</t>
  </si>
  <si>
    <t>OXIG.L</t>
  </si>
  <si>
    <t>PAF.L</t>
  </si>
  <si>
    <t>PAG.L</t>
  </si>
  <si>
    <t>PAGE.L</t>
  </si>
  <si>
    <t>PCGH.L</t>
  </si>
  <si>
    <t>PETS.L</t>
  </si>
  <si>
    <t>PEY.L</t>
  </si>
  <si>
    <t>PFD.L</t>
  </si>
  <si>
    <t>PHI.L</t>
  </si>
  <si>
    <t>PHP.L</t>
  </si>
  <si>
    <t>PIN.L</t>
  </si>
  <si>
    <t>PLUS.L</t>
  </si>
  <si>
    <t>PNL.L</t>
  </si>
  <si>
    <t>PNN.L</t>
  </si>
  <si>
    <t>PPET.L</t>
  </si>
  <si>
    <t>PTEC.L</t>
  </si>
  <si>
    <t>QQ.L</t>
  </si>
  <si>
    <t>RAT.L</t>
  </si>
  <si>
    <t>RCP.L</t>
  </si>
  <si>
    <t>RICA.L</t>
  </si>
  <si>
    <t>RNK.L</t>
  </si>
  <si>
    <t>ROR.L</t>
  </si>
  <si>
    <t>RS1.L</t>
  </si>
  <si>
    <t>RSW.L</t>
  </si>
  <si>
    <t>SAFE.L</t>
  </si>
  <si>
    <t>SAGA.L</t>
  </si>
  <si>
    <t>SAIN.L</t>
  </si>
  <si>
    <t>SCT.L</t>
  </si>
  <si>
    <t>SDP.L</t>
  </si>
  <si>
    <t>SEQI.L</t>
  </si>
  <si>
    <t>SHC.L</t>
  </si>
  <si>
    <t>SMWH.L</t>
  </si>
  <si>
    <t>SNR.L</t>
  </si>
  <si>
    <t>SOI.L</t>
  </si>
  <si>
    <t>SPI.L</t>
  </si>
  <si>
    <t>SRE.L</t>
  </si>
  <si>
    <t>SRP.L</t>
  </si>
  <si>
    <t>SSPG.L</t>
  </si>
  <si>
    <t>SVS.L</t>
  </si>
  <si>
    <t>SYNC.L</t>
  </si>
  <si>
    <t>TATE.L</t>
  </si>
  <si>
    <t>TCAP.L</t>
  </si>
  <si>
    <t>TEM.L</t>
  </si>
  <si>
    <t>TEP.L</t>
  </si>
  <si>
    <t>TFIF.L</t>
  </si>
  <si>
    <t>THRG.L</t>
  </si>
  <si>
    <t>THRL.L</t>
  </si>
  <si>
    <t>TMPL.L</t>
  </si>
  <si>
    <t>TPK.L</t>
  </si>
  <si>
    <t>TRIG.L</t>
  </si>
  <si>
    <t>TRY.L</t>
  </si>
  <si>
    <t>TW.L</t>
  </si>
  <si>
    <t>UEM.L</t>
  </si>
  <si>
    <t>UKW.L</t>
  </si>
  <si>
    <t>UTG.L</t>
  </si>
  <si>
    <t>VCT.L</t>
  </si>
  <si>
    <t>VOF.L</t>
  </si>
  <si>
    <t>VSVS.L</t>
  </si>
  <si>
    <t>VTY.L</t>
  </si>
  <si>
    <t>WIZZ.L</t>
  </si>
  <si>
    <t>WPP.L</t>
  </si>
  <si>
    <t>WWH.L</t>
  </si>
  <si>
    <t>ZIG.L</t>
  </si>
  <si>
    <t>No. of Foreign Subsidaries</t>
  </si>
  <si>
    <t xml:space="preserve">Total number of Subsidaries </t>
  </si>
  <si>
    <t xml:space="preserve">Domestic Share </t>
  </si>
  <si>
    <t>Foreign Share</t>
  </si>
  <si>
    <t>No. of Subsidaries in the UK</t>
  </si>
  <si>
    <t>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</si>
</sst>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1E2B-5C15-634A-A0F1-233E1B4FA690}">
  <dimension ref="A1:G209"/>
  <sheetViews>
    <sheetView tabSelected="1" topLeftCell="A48" zoomScale="150" workbookViewId="0">
      <selection activeCell="A199" sqref="A199:XFD199"/>
    </sheetView>
  </sheetViews>
  <sheetFormatPr baseColWidth="10" defaultRowHeight="16" x14ac:dyDescent="0.2"/>
  <cols>
    <col min="1" max="1" width="13.1640625" customWidth="1"/>
    <col min="2" max="2" width="22.5" customWidth="1"/>
    <col min="3" max="3" width="21.5" customWidth="1"/>
    <col min="4" max="4" width="23.33203125" customWidth="1"/>
    <col min="5" max="5" width="18.83203125" customWidth="1"/>
    <col min="6" max="6" width="15.33203125" customWidth="1"/>
    <col min="7" max="7" width="13.5" customWidth="1"/>
  </cols>
  <sheetData>
    <row r="1" spans="1:7" x14ac:dyDescent="0.2">
      <c r="A1" s="1" t="s">
        <v>0</v>
      </c>
      <c r="B1" t="s">
        <v>205</v>
      </c>
      <c r="C1" t="s">
        <v>201</v>
      </c>
      <c r="D1" t="s">
        <v>202</v>
      </c>
      <c r="E1" t="s">
        <v>203</v>
      </c>
      <c r="F1" t="s">
        <v>204</v>
      </c>
      <c r="G1" t="s">
        <v>206</v>
      </c>
    </row>
    <row r="2" spans="1:7" x14ac:dyDescent="0.2">
      <c r="A2" s="1" t="s">
        <v>1</v>
      </c>
      <c r="B2">
        <f>96-71</f>
        <v>25</v>
      </c>
      <c r="C2">
        <v>71</v>
      </c>
      <c r="D2">
        <f>B2+C2</f>
        <v>96</v>
      </c>
      <c r="E2" s="2">
        <f>B2/D2</f>
        <v>0.26041666666666669</v>
      </c>
      <c r="F2" s="2">
        <f>C2/D2</f>
        <v>0.73958333333333337</v>
      </c>
      <c r="G2" t="str">
        <f>IF(F2&gt;E2,"International","Domestic")</f>
        <v>International</v>
      </c>
    </row>
    <row r="3" spans="1:7" x14ac:dyDescent="0.2">
      <c r="A3" s="1" t="s">
        <v>2</v>
      </c>
      <c r="B3">
        <v>0</v>
      </c>
      <c r="C3">
        <v>42</v>
      </c>
      <c r="D3">
        <f t="shared" ref="D3:D66" si="0">B3+C3</f>
        <v>42</v>
      </c>
      <c r="E3" s="2">
        <f t="shared" ref="E3:E66" si="1">B3/D3</f>
        <v>0</v>
      </c>
      <c r="F3" s="2">
        <f t="shared" ref="F3:F66" si="2">C3/D3</f>
        <v>1</v>
      </c>
      <c r="G3" t="str">
        <f t="shared" ref="G3:G66" si="3">IF(F3&gt;E3,"International","Domestic")</f>
        <v>International</v>
      </c>
    </row>
    <row r="4" spans="1:7" x14ac:dyDescent="0.2">
      <c r="A4" s="1" t="s">
        <v>3</v>
      </c>
      <c r="B4">
        <v>150</v>
      </c>
      <c r="C4">
        <v>46</v>
      </c>
      <c r="D4">
        <f t="shared" si="0"/>
        <v>196</v>
      </c>
      <c r="E4" s="2">
        <f t="shared" si="1"/>
        <v>0.76530612244897955</v>
      </c>
      <c r="F4" s="2">
        <f t="shared" si="2"/>
        <v>0.23469387755102042</v>
      </c>
      <c r="G4" t="str">
        <f t="shared" si="3"/>
        <v>Domestic</v>
      </c>
    </row>
    <row r="5" spans="1:7" x14ac:dyDescent="0.2">
      <c r="A5" s="1" t="s">
        <v>4</v>
      </c>
      <c r="B5">
        <v>6</v>
      </c>
      <c r="C5">
        <v>40</v>
      </c>
      <c r="D5">
        <f t="shared" si="0"/>
        <v>46</v>
      </c>
      <c r="E5" s="2">
        <f t="shared" si="1"/>
        <v>0.13043478260869565</v>
      </c>
      <c r="F5" s="2">
        <f t="shared" si="2"/>
        <v>0.86956521739130432</v>
      </c>
      <c r="G5" t="str">
        <f t="shared" si="3"/>
        <v>International</v>
      </c>
    </row>
    <row r="6" spans="1:7" x14ac:dyDescent="0.2">
      <c r="A6" s="1" t="s">
        <v>5</v>
      </c>
      <c r="B6">
        <v>9</v>
      </c>
      <c r="C6">
        <v>43</v>
      </c>
      <c r="D6">
        <f t="shared" si="0"/>
        <v>52</v>
      </c>
      <c r="E6" s="2">
        <f t="shared" si="1"/>
        <v>0.17307692307692307</v>
      </c>
      <c r="F6" s="2">
        <f t="shared" si="2"/>
        <v>0.82692307692307687</v>
      </c>
      <c r="G6" t="str">
        <f t="shared" si="3"/>
        <v>International</v>
      </c>
    </row>
    <row r="7" spans="1:7" x14ac:dyDescent="0.2">
      <c r="A7" s="1" t="s">
        <v>6</v>
      </c>
      <c r="B7">
        <v>14</v>
      </c>
      <c r="C7">
        <v>0</v>
      </c>
      <c r="D7">
        <f t="shared" si="0"/>
        <v>14</v>
      </c>
      <c r="E7" s="2">
        <f t="shared" si="1"/>
        <v>1</v>
      </c>
      <c r="F7" s="2">
        <f t="shared" si="2"/>
        <v>0</v>
      </c>
      <c r="G7" t="str">
        <f t="shared" si="3"/>
        <v>Domestic</v>
      </c>
    </row>
    <row r="8" spans="1:7" x14ac:dyDescent="0.2">
      <c r="A8" s="1" t="s">
        <v>7</v>
      </c>
      <c r="B8">
        <v>12</v>
      </c>
      <c r="C8">
        <v>0</v>
      </c>
      <c r="D8">
        <f t="shared" si="0"/>
        <v>12</v>
      </c>
      <c r="E8" s="2">
        <f t="shared" si="1"/>
        <v>1</v>
      </c>
      <c r="F8" s="2">
        <f t="shared" si="2"/>
        <v>0</v>
      </c>
      <c r="G8" t="str">
        <f t="shared" si="3"/>
        <v>Domestic</v>
      </c>
    </row>
    <row r="9" spans="1:7" x14ac:dyDescent="0.2">
      <c r="A9" s="1" t="s">
        <v>8</v>
      </c>
      <c r="B9">
        <v>15</v>
      </c>
      <c r="C9">
        <v>0</v>
      </c>
      <c r="D9">
        <f t="shared" si="0"/>
        <v>15</v>
      </c>
      <c r="E9" s="2">
        <f t="shared" si="1"/>
        <v>1</v>
      </c>
      <c r="F9" s="2">
        <f t="shared" si="2"/>
        <v>0</v>
      </c>
      <c r="G9" t="str">
        <f t="shared" si="3"/>
        <v>Domestic</v>
      </c>
    </row>
    <row r="10" spans="1:7" x14ac:dyDescent="0.2">
      <c r="A10" s="1" t="s">
        <v>9</v>
      </c>
      <c r="B10">
        <v>2</v>
      </c>
      <c r="C10">
        <v>0</v>
      </c>
      <c r="D10">
        <f t="shared" si="0"/>
        <v>2</v>
      </c>
      <c r="E10" s="2">
        <f t="shared" si="1"/>
        <v>1</v>
      </c>
      <c r="F10" s="2">
        <f t="shared" si="2"/>
        <v>0</v>
      </c>
      <c r="G10" t="str">
        <f t="shared" si="3"/>
        <v>Domestic</v>
      </c>
    </row>
    <row r="11" spans="1:7" x14ac:dyDescent="0.2">
      <c r="A11" s="1" t="s">
        <v>10</v>
      </c>
      <c r="B11">
        <v>2</v>
      </c>
      <c r="C11">
        <v>0</v>
      </c>
      <c r="D11">
        <f t="shared" si="0"/>
        <v>2</v>
      </c>
      <c r="E11" s="2">
        <f t="shared" si="1"/>
        <v>1</v>
      </c>
      <c r="F11" s="2">
        <f t="shared" si="2"/>
        <v>0</v>
      </c>
      <c r="G11" t="str">
        <f t="shared" si="3"/>
        <v>Domestic</v>
      </c>
    </row>
    <row r="12" spans="1:7" x14ac:dyDescent="0.2">
      <c r="A12" s="1" t="s">
        <v>11</v>
      </c>
      <c r="B12">
        <v>0</v>
      </c>
      <c r="C12">
        <v>14</v>
      </c>
      <c r="D12">
        <f t="shared" si="0"/>
        <v>14</v>
      </c>
      <c r="E12" s="2">
        <f t="shared" si="1"/>
        <v>0</v>
      </c>
      <c r="F12" s="2">
        <f t="shared" si="2"/>
        <v>1</v>
      </c>
      <c r="G12" t="str">
        <f t="shared" si="3"/>
        <v>International</v>
      </c>
    </row>
    <row r="13" spans="1:7" x14ac:dyDescent="0.2">
      <c r="A13" s="1" t="s">
        <v>12</v>
      </c>
      <c r="B13">
        <v>45</v>
      </c>
      <c r="C13">
        <v>27</v>
      </c>
      <c r="D13">
        <f t="shared" si="0"/>
        <v>72</v>
      </c>
      <c r="E13" s="2">
        <f t="shared" si="1"/>
        <v>0.625</v>
      </c>
      <c r="F13" s="2">
        <f t="shared" si="2"/>
        <v>0.375</v>
      </c>
      <c r="G13" t="str">
        <f t="shared" si="3"/>
        <v>Domestic</v>
      </c>
    </row>
    <row r="14" spans="1:7" x14ac:dyDescent="0.2">
      <c r="A14" s="1" t="s">
        <v>13</v>
      </c>
      <c r="B14">
        <v>4</v>
      </c>
      <c r="C14">
        <v>477</v>
      </c>
      <c r="D14">
        <f t="shared" si="0"/>
        <v>481</v>
      </c>
      <c r="E14" s="2">
        <f t="shared" si="1"/>
        <v>8.3160083160083165E-3</v>
      </c>
      <c r="F14" s="2">
        <f t="shared" si="2"/>
        <v>0.99168399168399168</v>
      </c>
      <c r="G14" t="str">
        <f t="shared" si="3"/>
        <v>International</v>
      </c>
    </row>
    <row r="15" spans="1:7" x14ac:dyDescent="0.2">
      <c r="A15" s="1" t="s">
        <v>14</v>
      </c>
      <c r="B15">
        <v>64</v>
      </c>
      <c r="C15">
        <v>0</v>
      </c>
      <c r="D15">
        <f t="shared" si="0"/>
        <v>64</v>
      </c>
      <c r="E15" s="2">
        <f t="shared" si="1"/>
        <v>1</v>
      </c>
      <c r="F15" s="2">
        <f t="shared" si="2"/>
        <v>0</v>
      </c>
      <c r="G15" t="str">
        <f t="shared" si="3"/>
        <v>Domestic</v>
      </c>
    </row>
    <row r="16" spans="1:7" x14ac:dyDescent="0.2">
      <c r="A16" s="1" t="s">
        <v>15</v>
      </c>
      <c r="B16">
        <v>130</v>
      </c>
      <c r="C16">
        <v>88</v>
      </c>
      <c r="D16">
        <f t="shared" si="0"/>
        <v>218</v>
      </c>
      <c r="E16" s="2">
        <f t="shared" si="1"/>
        <v>0.59633027522935778</v>
      </c>
      <c r="F16" s="2">
        <f t="shared" si="2"/>
        <v>0.40366972477064222</v>
      </c>
      <c r="G16" t="str">
        <f t="shared" si="3"/>
        <v>Domestic</v>
      </c>
    </row>
    <row r="17" spans="1:7" x14ac:dyDescent="0.2">
      <c r="A17" s="1" t="s">
        <v>16</v>
      </c>
      <c r="B17">
        <v>4</v>
      </c>
      <c r="C17">
        <v>50</v>
      </c>
      <c r="D17">
        <f t="shared" si="0"/>
        <v>54</v>
      </c>
      <c r="E17" s="2">
        <f t="shared" si="1"/>
        <v>7.407407407407407E-2</v>
      </c>
      <c r="F17" s="2">
        <f t="shared" si="2"/>
        <v>0.92592592592592593</v>
      </c>
      <c r="G17" t="str">
        <f t="shared" si="3"/>
        <v>International</v>
      </c>
    </row>
    <row r="18" spans="1:7" x14ac:dyDescent="0.2">
      <c r="A18" s="1" t="s">
        <v>17</v>
      </c>
      <c r="B18">
        <v>0</v>
      </c>
      <c r="C18">
        <v>53</v>
      </c>
      <c r="D18">
        <v>49</v>
      </c>
      <c r="E18" s="2">
        <f t="shared" si="1"/>
        <v>0</v>
      </c>
      <c r="F18" s="2">
        <f t="shared" si="2"/>
        <v>1.0816326530612246</v>
      </c>
      <c r="G18" t="str">
        <f t="shared" si="3"/>
        <v>International</v>
      </c>
    </row>
    <row r="19" spans="1:7" x14ac:dyDescent="0.2">
      <c r="A19" s="1" t="s">
        <v>18</v>
      </c>
      <c r="B19">
        <v>4</v>
      </c>
      <c r="C19">
        <v>5</v>
      </c>
      <c r="D19">
        <f t="shared" si="0"/>
        <v>9</v>
      </c>
      <c r="E19" s="2">
        <f t="shared" si="1"/>
        <v>0.44444444444444442</v>
      </c>
      <c r="F19" s="2">
        <f t="shared" si="2"/>
        <v>0.55555555555555558</v>
      </c>
      <c r="G19" t="str">
        <f t="shared" si="3"/>
        <v>International</v>
      </c>
    </row>
    <row r="20" spans="1:7" x14ac:dyDescent="0.2">
      <c r="A20" s="1" t="s">
        <v>19</v>
      </c>
      <c r="B20">
        <v>16</v>
      </c>
      <c r="C20">
        <v>30</v>
      </c>
      <c r="D20">
        <f t="shared" si="0"/>
        <v>46</v>
      </c>
      <c r="E20" s="2">
        <f t="shared" si="1"/>
        <v>0.34782608695652173</v>
      </c>
      <c r="F20" s="2">
        <f t="shared" si="2"/>
        <v>0.65217391304347827</v>
      </c>
      <c r="G20" t="str">
        <f t="shared" si="3"/>
        <v>International</v>
      </c>
    </row>
    <row r="21" spans="1:7" x14ac:dyDescent="0.2">
      <c r="A21" s="1" t="s">
        <v>20</v>
      </c>
      <c r="B21">
        <v>5</v>
      </c>
      <c r="C21">
        <v>63</v>
      </c>
      <c r="D21">
        <f t="shared" si="0"/>
        <v>68</v>
      </c>
      <c r="E21" s="2">
        <f t="shared" si="1"/>
        <v>7.3529411764705885E-2</v>
      </c>
      <c r="F21" s="2">
        <f t="shared" si="2"/>
        <v>0.92647058823529416</v>
      </c>
      <c r="G21" t="str">
        <f t="shared" si="3"/>
        <v>International</v>
      </c>
    </row>
    <row r="22" spans="1:7" x14ac:dyDescent="0.2">
      <c r="A22" s="1" t="s">
        <v>21</v>
      </c>
      <c r="B22">
        <v>15</v>
      </c>
      <c r="C22">
        <v>59</v>
      </c>
      <c r="D22">
        <f t="shared" si="0"/>
        <v>74</v>
      </c>
      <c r="E22" s="2">
        <f t="shared" si="1"/>
        <v>0.20270270270270271</v>
      </c>
      <c r="F22" s="2">
        <f t="shared" si="2"/>
        <v>0.79729729729729726</v>
      </c>
      <c r="G22" t="str">
        <f t="shared" si="3"/>
        <v>International</v>
      </c>
    </row>
    <row r="23" spans="1:7" x14ac:dyDescent="0.2">
      <c r="A23" s="1" t="s">
        <v>22</v>
      </c>
      <c r="B23">
        <v>1</v>
      </c>
      <c r="C23">
        <v>0</v>
      </c>
      <c r="D23">
        <f t="shared" si="0"/>
        <v>1</v>
      </c>
      <c r="E23" s="2">
        <f t="shared" si="1"/>
        <v>1</v>
      </c>
      <c r="F23" s="2">
        <f t="shared" si="2"/>
        <v>0</v>
      </c>
      <c r="G23" t="str">
        <f t="shared" si="3"/>
        <v>Domestic</v>
      </c>
    </row>
    <row r="24" spans="1:7" x14ac:dyDescent="0.2">
      <c r="A24" s="1" t="s">
        <v>23</v>
      </c>
      <c r="B24">
        <v>1</v>
      </c>
      <c r="C24">
        <v>55</v>
      </c>
      <c r="D24">
        <f t="shared" si="0"/>
        <v>56</v>
      </c>
      <c r="E24" s="2">
        <f t="shared" si="1"/>
        <v>1.7857142857142856E-2</v>
      </c>
      <c r="F24" s="2">
        <f t="shared" si="2"/>
        <v>0.9821428571428571</v>
      </c>
      <c r="G24" t="str">
        <f t="shared" si="3"/>
        <v>International</v>
      </c>
    </row>
    <row r="25" spans="1:7" x14ac:dyDescent="0.2">
      <c r="A25" s="1" t="s">
        <v>24</v>
      </c>
      <c r="B25">
        <v>60</v>
      </c>
      <c r="C25">
        <v>3</v>
      </c>
      <c r="D25">
        <f t="shared" si="0"/>
        <v>63</v>
      </c>
      <c r="E25" s="2">
        <f t="shared" si="1"/>
        <v>0.95238095238095233</v>
      </c>
      <c r="F25" s="2">
        <f t="shared" si="2"/>
        <v>4.7619047619047616E-2</v>
      </c>
      <c r="G25" t="str">
        <f t="shared" si="3"/>
        <v>Domestic</v>
      </c>
    </row>
    <row r="26" spans="1:7" x14ac:dyDescent="0.2">
      <c r="A26" s="1" t="s">
        <v>25</v>
      </c>
      <c r="B26">
        <v>3</v>
      </c>
      <c r="C26">
        <v>22</v>
      </c>
      <c r="D26">
        <f t="shared" si="0"/>
        <v>25</v>
      </c>
      <c r="E26" s="2">
        <f t="shared" si="1"/>
        <v>0.12</v>
      </c>
      <c r="F26" s="2">
        <f t="shared" si="2"/>
        <v>0.88</v>
      </c>
      <c r="G26" t="str">
        <f t="shared" si="3"/>
        <v>International</v>
      </c>
    </row>
    <row r="27" spans="1:7" x14ac:dyDescent="0.2">
      <c r="A27" s="1" t="s">
        <v>26</v>
      </c>
      <c r="B27">
        <v>70</v>
      </c>
      <c r="C27">
        <v>0</v>
      </c>
      <c r="D27">
        <f t="shared" si="0"/>
        <v>70</v>
      </c>
      <c r="E27" s="2">
        <f t="shared" si="1"/>
        <v>1</v>
      </c>
      <c r="F27" s="2">
        <f t="shared" si="2"/>
        <v>0</v>
      </c>
      <c r="G27" t="str">
        <f t="shared" si="3"/>
        <v>Domestic</v>
      </c>
    </row>
    <row r="28" spans="1:7" x14ac:dyDescent="0.2">
      <c r="A28" s="1" t="s">
        <v>27</v>
      </c>
      <c r="B28">
        <v>14</v>
      </c>
      <c r="C28">
        <v>45</v>
      </c>
      <c r="D28">
        <f t="shared" si="0"/>
        <v>59</v>
      </c>
      <c r="E28" s="2">
        <f t="shared" si="1"/>
        <v>0.23728813559322035</v>
      </c>
      <c r="F28" s="2">
        <f t="shared" si="2"/>
        <v>0.76271186440677963</v>
      </c>
      <c r="G28" t="str">
        <f t="shared" si="3"/>
        <v>International</v>
      </c>
    </row>
    <row r="29" spans="1:7" x14ac:dyDescent="0.2">
      <c r="A29" s="1" t="s">
        <v>28</v>
      </c>
      <c r="B29">
        <v>24</v>
      </c>
      <c r="C29">
        <v>0</v>
      </c>
      <c r="D29">
        <f t="shared" si="0"/>
        <v>24</v>
      </c>
      <c r="E29" s="2">
        <f t="shared" si="1"/>
        <v>1</v>
      </c>
      <c r="F29" s="2">
        <f t="shared" si="2"/>
        <v>0</v>
      </c>
      <c r="G29" t="str">
        <f t="shared" si="3"/>
        <v>Domestic</v>
      </c>
    </row>
    <row r="30" spans="1:7" x14ac:dyDescent="0.2">
      <c r="A30" s="1" t="s">
        <v>29</v>
      </c>
      <c r="B30">
        <v>40</v>
      </c>
      <c r="C30">
        <v>0</v>
      </c>
      <c r="D30">
        <f t="shared" si="0"/>
        <v>40</v>
      </c>
      <c r="E30" s="2">
        <f t="shared" si="1"/>
        <v>1</v>
      </c>
      <c r="F30" s="2">
        <f t="shared" si="2"/>
        <v>0</v>
      </c>
      <c r="G30" t="str">
        <f t="shared" si="3"/>
        <v>Domestic</v>
      </c>
    </row>
    <row r="31" spans="1:7" x14ac:dyDescent="0.2">
      <c r="A31" s="1" t="s">
        <v>30</v>
      </c>
      <c r="B31">
        <v>35</v>
      </c>
      <c r="C31">
        <v>0</v>
      </c>
      <c r="D31">
        <f t="shared" si="0"/>
        <v>35</v>
      </c>
      <c r="E31" s="2">
        <f t="shared" si="1"/>
        <v>1</v>
      </c>
      <c r="F31" s="2">
        <f t="shared" si="2"/>
        <v>0</v>
      </c>
      <c r="G31" t="str">
        <f t="shared" si="3"/>
        <v>Domestic</v>
      </c>
    </row>
    <row r="32" spans="1:7" x14ac:dyDescent="0.2">
      <c r="A32" s="1" t="s">
        <v>31</v>
      </c>
      <c r="B32">
        <v>20</v>
      </c>
      <c r="C32">
        <v>40</v>
      </c>
      <c r="D32">
        <f t="shared" si="0"/>
        <v>60</v>
      </c>
      <c r="E32" s="2">
        <f t="shared" si="1"/>
        <v>0.33333333333333331</v>
      </c>
      <c r="F32" s="2">
        <f t="shared" si="2"/>
        <v>0.66666666666666663</v>
      </c>
      <c r="G32" t="str">
        <f t="shared" si="3"/>
        <v>International</v>
      </c>
    </row>
    <row r="33" spans="1:7" x14ac:dyDescent="0.2">
      <c r="A33" s="1" t="s">
        <v>32</v>
      </c>
      <c r="B33">
        <v>20</v>
      </c>
      <c r="C33">
        <v>40</v>
      </c>
      <c r="D33">
        <f t="shared" si="0"/>
        <v>60</v>
      </c>
      <c r="E33" s="2">
        <f t="shared" si="1"/>
        <v>0.33333333333333331</v>
      </c>
      <c r="F33" s="2">
        <f t="shared" si="2"/>
        <v>0.66666666666666663</v>
      </c>
      <c r="G33" t="str">
        <f t="shared" si="3"/>
        <v>International</v>
      </c>
    </row>
    <row r="34" spans="1:7" x14ac:dyDescent="0.2">
      <c r="A34" s="1" t="s">
        <v>33</v>
      </c>
      <c r="B34">
        <v>25</v>
      </c>
      <c r="C34">
        <v>41</v>
      </c>
      <c r="D34">
        <f t="shared" si="0"/>
        <v>66</v>
      </c>
      <c r="E34" s="2">
        <f t="shared" si="1"/>
        <v>0.37878787878787878</v>
      </c>
      <c r="F34" s="2">
        <f t="shared" si="2"/>
        <v>0.62121212121212122</v>
      </c>
      <c r="G34" t="str">
        <f t="shared" si="3"/>
        <v>International</v>
      </c>
    </row>
    <row r="35" spans="1:7" x14ac:dyDescent="0.2">
      <c r="A35" s="1" t="s">
        <v>34</v>
      </c>
      <c r="B35">
        <v>15</v>
      </c>
      <c r="C35">
        <v>0</v>
      </c>
      <c r="D35">
        <f t="shared" si="0"/>
        <v>15</v>
      </c>
      <c r="E35" s="2">
        <f t="shared" si="1"/>
        <v>1</v>
      </c>
      <c r="F35" s="2">
        <f t="shared" si="2"/>
        <v>0</v>
      </c>
      <c r="G35" t="str">
        <f t="shared" si="3"/>
        <v>Domestic</v>
      </c>
    </row>
    <row r="36" spans="1:7" x14ac:dyDescent="0.2">
      <c r="A36" s="1" t="s">
        <v>35</v>
      </c>
      <c r="B36">
        <v>18</v>
      </c>
      <c r="C36">
        <v>16</v>
      </c>
      <c r="D36">
        <f t="shared" si="0"/>
        <v>34</v>
      </c>
      <c r="E36" s="2">
        <f t="shared" si="1"/>
        <v>0.52941176470588236</v>
      </c>
      <c r="F36" s="2">
        <f t="shared" si="2"/>
        <v>0.47058823529411764</v>
      </c>
      <c r="G36" t="str">
        <f t="shared" si="3"/>
        <v>Domestic</v>
      </c>
    </row>
    <row r="37" spans="1:7" x14ac:dyDescent="0.2">
      <c r="A37" s="1" t="s">
        <v>36</v>
      </c>
      <c r="B37">
        <v>24</v>
      </c>
      <c r="C37">
        <v>54</v>
      </c>
      <c r="D37">
        <f t="shared" si="0"/>
        <v>78</v>
      </c>
      <c r="E37" s="2">
        <f t="shared" si="1"/>
        <v>0.30769230769230771</v>
      </c>
      <c r="F37" s="2">
        <f t="shared" si="2"/>
        <v>0.69230769230769229</v>
      </c>
      <c r="G37" t="str">
        <f t="shared" si="3"/>
        <v>International</v>
      </c>
    </row>
    <row r="38" spans="1:7" x14ac:dyDescent="0.2">
      <c r="A38" s="1" t="s">
        <v>37</v>
      </c>
      <c r="B38">
        <v>18</v>
      </c>
      <c r="C38">
        <v>26</v>
      </c>
      <c r="D38">
        <f t="shared" si="0"/>
        <v>44</v>
      </c>
      <c r="E38" s="2">
        <f t="shared" si="1"/>
        <v>0.40909090909090912</v>
      </c>
      <c r="F38" s="2">
        <f t="shared" si="2"/>
        <v>0.59090909090909094</v>
      </c>
      <c r="G38" t="str">
        <f t="shared" si="3"/>
        <v>International</v>
      </c>
    </row>
    <row r="39" spans="1:7" x14ac:dyDescent="0.2">
      <c r="A39" s="1" t="s">
        <v>38</v>
      </c>
      <c r="B39">
        <v>11</v>
      </c>
      <c r="C39">
        <v>33</v>
      </c>
      <c r="D39">
        <f t="shared" si="0"/>
        <v>44</v>
      </c>
      <c r="E39" s="2">
        <f t="shared" si="1"/>
        <v>0.25</v>
      </c>
      <c r="F39" s="2">
        <f t="shared" si="2"/>
        <v>0.75</v>
      </c>
      <c r="G39" t="str">
        <f t="shared" si="3"/>
        <v>International</v>
      </c>
    </row>
    <row r="40" spans="1:7" x14ac:dyDescent="0.2">
      <c r="A40" s="1" t="s">
        <v>39</v>
      </c>
      <c r="B40">
        <v>176</v>
      </c>
      <c r="C40">
        <v>76</v>
      </c>
      <c r="D40">
        <f t="shared" si="0"/>
        <v>252</v>
      </c>
      <c r="E40" s="2">
        <f t="shared" si="1"/>
        <v>0.69841269841269837</v>
      </c>
      <c r="F40" s="2">
        <f t="shared" si="2"/>
        <v>0.30158730158730157</v>
      </c>
      <c r="G40" t="str">
        <f t="shared" si="3"/>
        <v>Domestic</v>
      </c>
    </row>
    <row r="41" spans="1:7" x14ac:dyDescent="0.2">
      <c r="A41" s="1" t="s">
        <v>40</v>
      </c>
      <c r="B41">
        <v>4</v>
      </c>
      <c r="C41">
        <v>8</v>
      </c>
      <c r="D41">
        <f t="shared" si="0"/>
        <v>12</v>
      </c>
      <c r="E41" s="2">
        <f t="shared" si="1"/>
        <v>0.33333333333333331</v>
      </c>
      <c r="F41" s="2">
        <f t="shared" si="2"/>
        <v>0.66666666666666663</v>
      </c>
      <c r="G41" t="str">
        <f t="shared" si="3"/>
        <v>International</v>
      </c>
    </row>
    <row r="42" spans="1:7" x14ac:dyDescent="0.2">
      <c r="A42" s="1" t="s">
        <v>41</v>
      </c>
      <c r="B42">
        <v>45</v>
      </c>
      <c r="C42">
        <v>12</v>
      </c>
      <c r="D42">
        <f t="shared" si="0"/>
        <v>57</v>
      </c>
      <c r="E42" s="2">
        <f t="shared" si="1"/>
        <v>0.78947368421052633</v>
      </c>
      <c r="F42" s="2">
        <f t="shared" si="2"/>
        <v>0.21052631578947367</v>
      </c>
      <c r="G42" t="str">
        <f t="shared" si="3"/>
        <v>Domestic</v>
      </c>
    </row>
    <row r="43" spans="1:7" x14ac:dyDescent="0.2">
      <c r="A43" s="1" t="s">
        <v>42</v>
      </c>
      <c r="B43">
        <v>45</v>
      </c>
      <c r="C43">
        <v>27</v>
      </c>
      <c r="D43">
        <f t="shared" si="0"/>
        <v>72</v>
      </c>
      <c r="E43" s="2">
        <f t="shared" si="1"/>
        <v>0.625</v>
      </c>
      <c r="F43" s="2">
        <f t="shared" si="2"/>
        <v>0.375</v>
      </c>
      <c r="G43" t="str">
        <f t="shared" si="3"/>
        <v>Domestic</v>
      </c>
    </row>
    <row r="44" spans="1:7" x14ac:dyDescent="0.2">
      <c r="A44" s="1" t="s">
        <v>43</v>
      </c>
      <c r="B44">
        <v>67</v>
      </c>
      <c r="C44">
        <v>35</v>
      </c>
      <c r="D44">
        <f t="shared" si="0"/>
        <v>102</v>
      </c>
      <c r="E44" s="2">
        <f t="shared" si="1"/>
        <v>0.65686274509803921</v>
      </c>
      <c r="F44" s="2">
        <f t="shared" si="2"/>
        <v>0.34313725490196079</v>
      </c>
      <c r="G44" t="str">
        <f t="shared" si="3"/>
        <v>Domestic</v>
      </c>
    </row>
    <row r="45" spans="1:7" x14ac:dyDescent="0.2">
      <c r="A45" s="1" t="s">
        <v>44</v>
      </c>
      <c r="B45">
        <v>89</v>
      </c>
      <c r="C45">
        <v>48</v>
      </c>
      <c r="D45">
        <f t="shared" si="0"/>
        <v>137</v>
      </c>
      <c r="E45" s="2">
        <f t="shared" si="1"/>
        <v>0.64963503649635035</v>
      </c>
      <c r="F45" s="2">
        <f t="shared" si="2"/>
        <v>0.35036496350364965</v>
      </c>
      <c r="G45" t="str">
        <f t="shared" si="3"/>
        <v>Domestic</v>
      </c>
    </row>
    <row r="46" spans="1:7" x14ac:dyDescent="0.2">
      <c r="A46" s="1" t="s">
        <v>45</v>
      </c>
      <c r="B46">
        <v>76</v>
      </c>
      <c r="C46">
        <v>19</v>
      </c>
      <c r="D46">
        <f t="shared" si="0"/>
        <v>95</v>
      </c>
      <c r="E46" s="2">
        <f t="shared" si="1"/>
        <v>0.8</v>
      </c>
      <c r="F46" s="2">
        <f t="shared" si="2"/>
        <v>0.2</v>
      </c>
      <c r="G46" t="str">
        <f t="shared" si="3"/>
        <v>Domestic</v>
      </c>
    </row>
    <row r="47" spans="1:7" x14ac:dyDescent="0.2">
      <c r="A47" s="1" t="s">
        <v>46</v>
      </c>
      <c r="B47">
        <v>71</v>
      </c>
      <c r="C47">
        <v>62</v>
      </c>
      <c r="D47">
        <f t="shared" si="0"/>
        <v>133</v>
      </c>
      <c r="E47" s="2">
        <f t="shared" si="1"/>
        <v>0.53383458646616544</v>
      </c>
      <c r="F47" s="2">
        <f t="shared" si="2"/>
        <v>0.46616541353383456</v>
      </c>
      <c r="G47" t="str">
        <f t="shared" si="3"/>
        <v>Domestic</v>
      </c>
    </row>
    <row r="48" spans="1:7" x14ac:dyDescent="0.2">
      <c r="A48" s="1" t="s">
        <v>47</v>
      </c>
      <c r="B48">
        <v>43</v>
      </c>
      <c r="C48">
        <v>74</v>
      </c>
      <c r="D48">
        <f t="shared" si="0"/>
        <v>117</v>
      </c>
      <c r="E48" s="2">
        <f t="shared" si="1"/>
        <v>0.36752136752136755</v>
      </c>
      <c r="F48" s="2">
        <f t="shared" si="2"/>
        <v>0.63247863247863245</v>
      </c>
      <c r="G48" t="str">
        <f t="shared" si="3"/>
        <v>International</v>
      </c>
    </row>
    <row r="49" spans="1:7" x14ac:dyDescent="0.2">
      <c r="A49" s="1" t="s">
        <v>48</v>
      </c>
      <c r="B49">
        <v>45</v>
      </c>
      <c r="C49">
        <v>21</v>
      </c>
      <c r="D49">
        <f t="shared" si="0"/>
        <v>66</v>
      </c>
      <c r="E49" s="2">
        <f t="shared" si="1"/>
        <v>0.68181818181818177</v>
      </c>
      <c r="F49" s="2">
        <f t="shared" si="2"/>
        <v>0.31818181818181818</v>
      </c>
      <c r="G49" t="str">
        <f t="shared" si="3"/>
        <v>Domestic</v>
      </c>
    </row>
    <row r="50" spans="1:7" x14ac:dyDescent="0.2">
      <c r="A50" s="1" t="s">
        <v>49</v>
      </c>
      <c r="B50">
        <v>53</v>
      </c>
      <c r="C50">
        <v>39</v>
      </c>
      <c r="D50">
        <f t="shared" si="0"/>
        <v>92</v>
      </c>
      <c r="E50" s="2">
        <f t="shared" si="1"/>
        <v>0.57608695652173914</v>
      </c>
      <c r="F50" s="2">
        <f t="shared" si="2"/>
        <v>0.42391304347826086</v>
      </c>
      <c r="G50" t="str">
        <f t="shared" si="3"/>
        <v>Domestic</v>
      </c>
    </row>
    <row r="51" spans="1:7" x14ac:dyDescent="0.2">
      <c r="A51" s="1" t="s">
        <v>50</v>
      </c>
      <c r="B51">
        <v>2</v>
      </c>
      <c r="C51">
        <v>55</v>
      </c>
      <c r="D51">
        <f t="shared" si="0"/>
        <v>57</v>
      </c>
      <c r="E51" s="2">
        <f t="shared" si="1"/>
        <v>3.5087719298245612E-2</v>
      </c>
      <c r="F51" s="2">
        <f t="shared" si="2"/>
        <v>0.96491228070175439</v>
      </c>
      <c r="G51" t="str">
        <f t="shared" si="3"/>
        <v>International</v>
      </c>
    </row>
    <row r="52" spans="1:7" x14ac:dyDescent="0.2">
      <c r="A52" s="1" t="s">
        <v>51</v>
      </c>
      <c r="B52">
        <v>14</v>
      </c>
      <c r="C52">
        <v>18</v>
      </c>
      <c r="D52">
        <f t="shared" si="0"/>
        <v>32</v>
      </c>
      <c r="E52" s="2">
        <f t="shared" si="1"/>
        <v>0.4375</v>
      </c>
      <c r="F52" s="2">
        <f t="shared" si="2"/>
        <v>0.5625</v>
      </c>
      <c r="G52" t="str">
        <f t="shared" si="3"/>
        <v>International</v>
      </c>
    </row>
    <row r="53" spans="1:7" x14ac:dyDescent="0.2">
      <c r="A53" s="1" t="s">
        <v>52</v>
      </c>
      <c r="B53">
        <v>6</v>
      </c>
      <c r="C53">
        <v>9</v>
      </c>
      <c r="D53">
        <f t="shared" si="0"/>
        <v>15</v>
      </c>
      <c r="E53" s="2">
        <f t="shared" si="1"/>
        <v>0.4</v>
      </c>
      <c r="F53" s="2">
        <f t="shared" si="2"/>
        <v>0.6</v>
      </c>
      <c r="G53" t="str">
        <f t="shared" si="3"/>
        <v>International</v>
      </c>
    </row>
    <row r="54" spans="1:7" x14ac:dyDescent="0.2">
      <c r="A54" s="1" t="s">
        <v>53</v>
      </c>
      <c r="B54">
        <v>11</v>
      </c>
      <c r="C54">
        <v>44</v>
      </c>
      <c r="D54">
        <f t="shared" si="0"/>
        <v>55</v>
      </c>
      <c r="E54" s="2">
        <f t="shared" si="1"/>
        <v>0.2</v>
      </c>
      <c r="F54" s="2">
        <f t="shared" si="2"/>
        <v>0.8</v>
      </c>
      <c r="G54" t="str">
        <f t="shared" si="3"/>
        <v>International</v>
      </c>
    </row>
    <row r="55" spans="1:7" x14ac:dyDescent="0.2">
      <c r="A55" s="1" t="s">
        <v>54</v>
      </c>
      <c r="B55">
        <v>37</v>
      </c>
      <c r="C55">
        <v>68</v>
      </c>
      <c r="D55">
        <f t="shared" si="0"/>
        <v>105</v>
      </c>
      <c r="E55" s="2">
        <f t="shared" si="1"/>
        <v>0.35238095238095241</v>
      </c>
      <c r="F55" s="2">
        <f t="shared" si="2"/>
        <v>0.64761904761904765</v>
      </c>
      <c r="G55" t="str">
        <f t="shared" si="3"/>
        <v>International</v>
      </c>
    </row>
    <row r="56" spans="1:7" x14ac:dyDescent="0.2">
      <c r="A56" s="1" t="s">
        <v>55</v>
      </c>
      <c r="B56">
        <v>45</v>
      </c>
      <c r="C56">
        <v>82</v>
      </c>
      <c r="D56">
        <f t="shared" si="0"/>
        <v>127</v>
      </c>
      <c r="E56" s="2">
        <f t="shared" si="1"/>
        <v>0.3543307086614173</v>
      </c>
      <c r="F56" s="2">
        <f t="shared" si="2"/>
        <v>0.64566929133858264</v>
      </c>
      <c r="G56" t="str">
        <f t="shared" si="3"/>
        <v>International</v>
      </c>
    </row>
    <row r="57" spans="1:7" x14ac:dyDescent="0.2">
      <c r="A57" s="1" t="s">
        <v>56</v>
      </c>
      <c r="B57">
        <v>19</v>
      </c>
      <c r="C57">
        <v>31</v>
      </c>
      <c r="D57">
        <f t="shared" si="0"/>
        <v>50</v>
      </c>
      <c r="E57" s="2">
        <f t="shared" si="1"/>
        <v>0.38</v>
      </c>
      <c r="F57" s="2">
        <f t="shared" si="2"/>
        <v>0.62</v>
      </c>
      <c r="G57" t="str">
        <f t="shared" si="3"/>
        <v>International</v>
      </c>
    </row>
    <row r="58" spans="1:7" x14ac:dyDescent="0.2">
      <c r="A58" s="1" t="s">
        <v>57</v>
      </c>
      <c r="B58">
        <v>68</v>
      </c>
      <c r="C58">
        <v>57</v>
      </c>
      <c r="D58">
        <f t="shared" si="0"/>
        <v>125</v>
      </c>
      <c r="E58" s="2">
        <f t="shared" si="1"/>
        <v>0.54400000000000004</v>
      </c>
      <c r="F58" s="2">
        <f t="shared" si="2"/>
        <v>0.45600000000000002</v>
      </c>
      <c r="G58" t="str">
        <f t="shared" si="3"/>
        <v>Domestic</v>
      </c>
    </row>
    <row r="59" spans="1:7" x14ac:dyDescent="0.2">
      <c r="A59" s="1" t="s">
        <v>58</v>
      </c>
      <c r="B59">
        <v>90</v>
      </c>
      <c r="C59">
        <v>66</v>
      </c>
      <c r="D59">
        <f t="shared" si="0"/>
        <v>156</v>
      </c>
      <c r="E59" s="2">
        <f t="shared" si="1"/>
        <v>0.57692307692307687</v>
      </c>
      <c r="F59" s="2">
        <f t="shared" si="2"/>
        <v>0.42307692307692307</v>
      </c>
      <c r="G59" t="str">
        <f t="shared" si="3"/>
        <v>Domestic</v>
      </c>
    </row>
    <row r="60" spans="1:7" x14ac:dyDescent="0.2">
      <c r="A60" s="1" t="s">
        <v>59</v>
      </c>
      <c r="B60">
        <v>89</v>
      </c>
      <c r="C60">
        <v>14</v>
      </c>
      <c r="D60">
        <f t="shared" si="0"/>
        <v>103</v>
      </c>
      <c r="E60" s="2">
        <f t="shared" si="1"/>
        <v>0.86407766990291257</v>
      </c>
      <c r="F60" s="2">
        <f t="shared" si="2"/>
        <v>0.13592233009708737</v>
      </c>
      <c r="G60" t="str">
        <f t="shared" si="3"/>
        <v>Domestic</v>
      </c>
    </row>
    <row r="61" spans="1:7" x14ac:dyDescent="0.2">
      <c r="A61" s="1" t="s">
        <v>60</v>
      </c>
      <c r="B61">
        <v>87</v>
      </c>
      <c r="C61">
        <v>26</v>
      </c>
      <c r="D61">
        <f t="shared" si="0"/>
        <v>113</v>
      </c>
      <c r="E61" s="2">
        <f t="shared" si="1"/>
        <v>0.76991150442477874</v>
      </c>
      <c r="F61" s="2">
        <f t="shared" si="2"/>
        <v>0.23008849557522124</v>
      </c>
      <c r="G61" t="str">
        <f t="shared" si="3"/>
        <v>Domestic</v>
      </c>
    </row>
    <row r="62" spans="1:7" x14ac:dyDescent="0.2">
      <c r="A62" s="1" t="s">
        <v>61</v>
      </c>
      <c r="B62">
        <v>76</v>
      </c>
      <c r="C62">
        <v>41</v>
      </c>
      <c r="D62">
        <f t="shared" si="0"/>
        <v>117</v>
      </c>
      <c r="E62" s="2">
        <f t="shared" si="1"/>
        <v>0.6495726495726496</v>
      </c>
      <c r="F62" s="2">
        <f t="shared" si="2"/>
        <v>0.3504273504273504</v>
      </c>
      <c r="G62" t="str">
        <f t="shared" si="3"/>
        <v>Domestic</v>
      </c>
    </row>
    <row r="63" spans="1:7" x14ac:dyDescent="0.2">
      <c r="A63" s="1" t="s">
        <v>62</v>
      </c>
      <c r="B63">
        <v>28</v>
      </c>
      <c r="C63">
        <v>53</v>
      </c>
      <c r="D63">
        <f t="shared" si="0"/>
        <v>81</v>
      </c>
      <c r="E63" s="2">
        <f t="shared" si="1"/>
        <v>0.34567901234567899</v>
      </c>
      <c r="F63" s="2">
        <f t="shared" si="2"/>
        <v>0.65432098765432101</v>
      </c>
      <c r="G63" t="str">
        <f t="shared" si="3"/>
        <v>International</v>
      </c>
    </row>
    <row r="64" spans="1:7" x14ac:dyDescent="0.2">
      <c r="A64" s="1" t="s">
        <v>63</v>
      </c>
      <c r="B64">
        <v>39</v>
      </c>
      <c r="C64">
        <v>71</v>
      </c>
      <c r="D64">
        <f t="shared" si="0"/>
        <v>110</v>
      </c>
      <c r="E64" s="2">
        <f t="shared" si="1"/>
        <v>0.35454545454545455</v>
      </c>
      <c r="F64" s="2">
        <f t="shared" si="2"/>
        <v>0.6454545454545455</v>
      </c>
      <c r="G64" t="str">
        <f t="shared" si="3"/>
        <v>International</v>
      </c>
    </row>
    <row r="65" spans="1:7" x14ac:dyDescent="0.2">
      <c r="A65" s="1" t="s">
        <v>64</v>
      </c>
      <c r="B65">
        <v>50</v>
      </c>
      <c r="C65">
        <v>89</v>
      </c>
      <c r="D65">
        <f t="shared" si="0"/>
        <v>139</v>
      </c>
      <c r="E65" s="2">
        <f t="shared" si="1"/>
        <v>0.35971223021582732</v>
      </c>
      <c r="F65" s="2">
        <f t="shared" si="2"/>
        <v>0.64028776978417268</v>
      </c>
      <c r="G65" t="str">
        <f t="shared" si="3"/>
        <v>International</v>
      </c>
    </row>
    <row r="66" spans="1:7" x14ac:dyDescent="0.2">
      <c r="A66" s="1" t="s">
        <v>65</v>
      </c>
      <c r="B66">
        <v>10</v>
      </c>
      <c r="C66">
        <v>22</v>
      </c>
      <c r="D66">
        <f t="shared" si="0"/>
        <v>32</v>
      </c>
      <c r="E66" s="2">
        <f t="shared" si="1"/>
        <v>0.3125</v>
      </c>
      <c r="F66" s="2">
        <f t="shared" si="2"/>
        <v>0.6875</v>
      </c>
      <c r="G66" t="str">
        <f t="shared" si="3"/>
        <v>International</v>
      </c>
    </row>
    <row r="67" spans="1:7" x14ac:dyDescent="0.2">
      <c r="A67" s="1" t="s">
        <v>66</v>
      </c>
      <c r="B67">
        <v>50</v>
      </c>
      <c r="C67">
        <v>34</v>
      </c>
      <c r="D67">
        <f t="shared" ref="D67:D130" si="4">B67+C67</f>
        <v>84</v>
      </c>
      <c r="E67" s="2">
        <f t="shared" ref="E67:E130" si="5">B67/D67</f>
        <v>0.59523809523809523</v>
      </c>
      <c r="F67" s="2">
        <f t="shared" ref="F67:F130" si="6">C67/D67</f>
        <v>0.40476190476190477</v>
      </c>
      <c r="G67" t="str">
        <f t="shared" ref="G67:G130" si="7">IF(F67&gt;E67,"International","Domestic")</f>
        <v>Domestic</v>
      </c>
    </row>
    <row r="68" spans="1:7" x14ac:dyDescent="0.2">
      <c r="A68" s="1" t="s">
        <v>67</v>
      </c>
      <c r="B68">
        <v>17</v>
      </c>
      <c r="C68">
        <v>46</v>
      </c>
      <c r="D68">
        <f t="shared" si="4"/>
        <v>63</v>
      </c>
      <c r="E68" s="2">
        <f t="shared" si="5"/>
        <v>0.26984126984126983</v>
      </c>
      <c r="F68" s="2">
        <f t="shared" si="6"/>
        <v>0.73015873015873012</v>
      </c>
      <c r="G68" t="str">
        <f t="shared" si="7"/>
        <v>International</v>
      </c>
    </row>
    <row r="69" spans="1:7" x14ac:dyDescent="0.2">
      <c r="A69" s="1" t="s">
        <v>68</v>
      </c>
      <c r="B69">
        <v>90</v>
      </c>
      <c r="C69">
        <v>59</v>
      </c>
      <c r="D69">
        <f t="shared" si="4"/>
        <v>149</v>
      </c>
      <c r="E69" s="2">
        <f t="shared" si="5"/>
        <v>0.60402684563758391</v>
      </c>
      <c r="F69" s="2">
        <f t="shared" si="6"/>
        <v>0.39597315436241609</v>
      </c>
      <c r="G69" t="str">
        <f t="shared" si="7"/>
        <v>Domestic</v>
      </c>
    </row>
    <row r="70" spans="1:7" x14ac:dyDescent="0.2">
      <c r="A70" s="1" t="s">
        <v>69</v>
      </c>
      <c r="B70">
        <v>80</v>
      </c>
      <c r="C70">
        <v>64</v>
      </c>
      <c r="D70">
        <f t="shared" si="4"/>
        <v>144</v>
      </c>
      <c r="E70" s="2">
        <f t="shared" si="5"/>
        <v>0.55555555555555558</v>
      </c>
      <c r="F70" s="2">
        <f t="shared" si="6"/>
        <v>0.44444444444444442</v>
      </c>
      <c r="G70" t="str">
        <f t="shared" si="7"/>
        <v>Domestic</v>
      </c>
    </row>
    <row r="71" spans="1:7" x14ac:dyDescent="0.2">
      <c r="A71" s="1" t="s">
        <v>70</v>
      </c>
      <c r="B71">
        <v>70</v>
      </c>
      <c r="C71">
        <v>77</v>
      </c>
      <c r="D71">
        <f t="shared" si="4"/>
        <v>147</v>
      </c>
      <c r="E71" s="2">
        <f t="shared" si="5"/>
        <v>0.47619047619047616</v>
      </c>
      <c r="F71" s="2">
        <f t="shared" si="6"/>
        <v>0.52380952380952384</v>
      </c>
      <c r="G71" t="str">
        <f t="shared" si="7"/>
        <v>International</v>
      </c>
    </row>
    <row r="72" spans="1:7" x14ac:dyDescent="0.2">
      <c r="A72" s="1" t="s">
        <v>71</v>
      </c>
      <c r="B72">
        <v>70</v>
      </c>
      <c r="C72">
        <v>91</v>
      </c>
      <c r="D72">
        <f t="shared" si="4"/>
        <v>161</v>
      </c>
      <c r="E72" s="2">
        <f t="shared" si="5"/>
        <v>0.43478260869565216</v>
      </c>
      <c r="F72" s="2">
        <f t="shared" si="6"/>
        <v>0.56521739130434778</v>
      </c>
      <c r="G72" t="str">
        <f t="shared" si="7"/>
        <v>International</v>
      </c>
    </row>
    <row r="73" spans="1:7" x14ac:dyDescent="0.2">
      <c r="A73" s="1" t="s">
        <v>72</v>
      </c>
      <c r="B73">
        <v>60</v>
      </c>
      <c r="C73">
        <v>7</v>
      </c>
      <c r="D73">
        <f t="shared" si="4"/>
        <v>67</v>
      </c>
      <c r="E73" s="2">
        <f t="shared" si="5"/>
        <v>0.89552238805970152</v>
      </c>
      <c r="F73" s="2">
        <f t="shared" si="6"/>
        <v>0.1044776119402985</v>
      </c>
      <c r="G73" t="str">
        <f t="shared" si="7"/>
        <v>Domestic</v>
      </c>
    </row>
    <row r="74" spans="1:7" x14ac:dyDescent="0.2">
      <c r="A74" s="1" t="s">
        <v>73</v>
      </c>
      <c r="B74">
        <v>20</v>
      </c>
      <c r="C74">
        <v>29</v>
      </c>
      <c r="D74">
        <f t="shared" si="4"/>
        <v>49</v>
      </c>
      <c r="E74" s="2">
        <f t="shared" si="5"/>
        <v>0.40816326530612246</v>
      </c>
      <c r="F74" s="2">
        <f t="shared" si="6"/>
        <v>0.59183673469387754</v>
      </c>
      <c r="G74" t="str">
        <f t="shared" si="7"/>
        <v>International</v>
      </c>
    </row>
    <row r="75" spans="1:7" x14ac:dyDescent="0.2">
      <c r="A75" s="1" t="s">
        <v>74</v>
      </c>
      <c r="B75">
        <v>26</v>
      </c>
      <c r="C75">
        <v>38</v>
      </c>
      <c r="D75">
        <f t="shared" si="4"/>
        <v>64</v>
      </c>
      <c r="E75" s="2">
        <f t="shared" si="5"/>
        <v>0.40625</v>
      </c>
      <c r="F75" s="2">
        <f t="shared" si="6"/>
        <v>0.59375</v>
      </c>
      <c r="G75" t="str">
        <f t="shared" si="7"/>
        <v>International</v>
      </c>
    </row>
    <row r="76" spans="1:7" x14ac:dyDescent="0.2">
      <c r="A76" s="1" t="s">
        <v>75</v>
      </c>
      <c r="B76">
        <v>78</v>
      </c>
      <c r="C76">
        <v>52</v>
      </c>
      <c r="D76">
        <f t="shared" si="4"/>
        <v>130</v>
      </c>
      <c r="E76" s="2">
        <f t="shared" si="5"/>
        <v>0.6</v>
      </c>
      <c r="F76" s="2">
        <f t="shared" si="6"/>
        <v>0.4</v>
      </c>
      <c r="G76" t="str">
        <f t="shared" si="7"/>
        <v>Domestic</v>
      </c>
    </row>
    <row r="77" spans="1:7" x14ac:dyDescent="0.2">
      <c r="A77" s="1" t="s">
        <v>76</v>
      </c>
      <c r="B77">
        <v>68</v>
      </c>
      <c r="C77">
        <v>61</v>
      </c>
      <c r="D77">
        <f t="shared" si="4"/>
        <v>129</v>
      </c>
      <c r="E77" s="2">
        <f t="shared" si="5"/>
        <v>0.52713178294573648</v>
      </c>
      <c r="F77" s="2">
        <f t="shared" si="6"/>
        <v>0.47286821705426357</v>
      </c>
      <c r="G77" t="str">
        <f t="shared" si="7"/>
        <v>Domestic</v>
      </c>
    </row>
    <row r="78" spans="1:7" x14ac:dyDescent="0.2">
      <c r="A78" s="1" t="s">
        <v>77</v>
      </c>
      <c r="B78">
        <v>80</v>
      </c>
      <c r="C78">
        <v>73</v>
      </c>
      <c r="D78">
        <f t="shared" si="4"/>
        <v>153</v>
      </c>
      <c r="E78" s="2">
        <f t="shared" si="5"/>
        <v>0.52287581699346408</v>
      </c>
      <c r="F78" s="2">
        <f t="shared" si="6"/>
        <v>0.47712418300653597</v>
      </c>
      <c r="G78" t="str">
        <f t="shared" si="7"/>
        <v>Domestic</v>
      </c>
    </row>
    <row r="79" spans="1:7" x14ac:dyDescent="0.2">
      <c r="A79" s="1" t="s">
        <v>78</v>
      </c>
      <c r="B79">
        <v>48</v>
      </c>
      <c r="C79">
        <v>86</v>
      </c>
      <c r="D79">
        <f t="shared" si="4"/>
        <v>134</v>
      </c>
      <c r="E79" s="2">
        <f t="shared" si="5"/>
        <v>0.35820895522388058</v>
      </c>
      <c r="F79" s="2">
        <f t="shared" si="6"/>
        <v>0.64179104477611937</v>
      </c>
      <c r="G79" t="str">
        <f t="shared" si="7"/>
        <v>International</v>
      </c>
    </row>
    <row r="80" spans="1:7" x14ac:dyDescent="0.2">
      <c r="A80" s="1" t="s">
        <v>79</v>
      </c>
      <c r="B80">
        <v>52</v>
      </c>
      <c r="C80">
        <v>98</v>
      </c>
      <c r="D80">
        <f t="shared" si="4"/>
        <v>150</v>
      </c>
      <c r="E80" s="2">
        <f t="shared" si="5"/>
        <v>0.34666666666666668</v>
      </c>
      <c r="F80" s="2">
        <f t="shared" si="6"/>
        <v>0.65333333333333332</v>
      </c>
      <c r="G80" t="str">
        <f t="shared" si="7"/>
        <v>International</v>
      </c>
    </row>
    <row r="81" spans="1:7" x14ac:dyDescent="0.2">
      <c r="A81" s="1" t="s">
        <v>80</v>
      </c>
      <c r="B81">
        <v>60</v>
      </c>
      <c r="C81">
        <v>112</v>
      </c>
      <c r="D81">
        <f t="shared" si="4"/>
        <v>172</v>
      </c>
      <c r="E81" s="2">
        <f t="shared" si="5"/>
        <v>0.34883720930232559</v>
      </c>
      <c r="F81" s="2">
        <f t="shared" si="6"/>
        <v>0.65116279069767447</v>
      </c>
      <c r="G81" t="str">
        <f t="shared" si="7"/>
        <v>International</v>
      </c>
    </row>
    <row r="82" spans="1:7" x14ac:dyDescent="0.2">
      <c r="A82" s="1" t="s">
        <v>81</v>
      </c>
      <c r="B82">
        <v>150</v>
      </c>
      <c r="C82">
        <v>67</v>
      </c>
      <c r="D82">
        <f t="shared" si="4"/>
        <v>217</v>
      </c>
      <c r="E82" s="2">
        <f t="shared" si="5"/>
        <v>0.69124423963133641</v>
      </c>
      <c r="F82" s="2">
        <f t="shared" si="6"/>
        <v>0.30875576036866359</v>
      </c>
      <c r="G82" t="str">
        <f t="shared" si="7"/>
        <v>Domestic</v>
      </c>
    </row>
    <row r="83" spans="1:7" x14ac:dyDescent="0.2">
      <c r="A83" s="1" t="s">
        <v>82</v>
      </c>
      <c r="B83">
        <v>60</v>
      </c>
      <c r="C83">
        <v>24</v>
      </c>
      <c r="D83">
        <f t="shared" si="4"/>
        <v>84</v>
      </c>
      <c r="E83" s="2">
        <f t="shared" si="5"/>
        <v>0.7142857142857143</v>
      </c>
      <c r="F83" s="2">
        <f t="shared" si="6"/>
        <v>0.2857142857142857</v>
      </c>
      <c r="G83" t="str">
        <f t="shared" si="7"/>
        <v>Domestic</v>
      </c>
    </row>
    <row r="84" spans="1:7" x14ac:dyDescent="0.2">
      <c r="A84" s="1" t="s">
        <v>83</v>
      </c>
      <c r="B84">
        <v>70</v>
      </c>
      <c r="C84">
        <v>16</v>
      </c>
      <c r="D84">
        <f t="shared" si="4"/>
        <v>86</v>
      </c>
      <c r="E84" s="2">
        <f t="shared" si="5"/>
        <v>0.81395348837209303</v>
      </c>
      <c r="F84" s="2">
        <f t="shared" si="6"/>
        <v>0.18604651162790697</v>
      </c>
      <c r="G84" t="str">
        <f t="shared" si="7"/>
        <v>Domestic</v>
      </c>
    </row>
    <row r="85" spans="1:7" x14ac:dyDescent="0.2">
      <c r="A85" s="1" t="s">
        <v>84</v>
      </c>
      <c r="B85">
        <v>87</v>
      </c>
      <c r="C85">
        <v>42</v>
      </c>
      <c r="D85">
        <f t="shared" si="4"/>
        <v>129</v>
      </c>
      <c r="E85" s="2">
        <f t="shared" si="5"/>
        <v>0.67441860465116277</v>
      </c>
      <c r="F85" s="2">
        <f t="shared" si="6"/>
        <v>0.32558139534883723</v>
      </c>
      <c r="G85" t="str">
        <f t="shared" si="7"/>
        <v>Domestic</v>
      </c>
    </row>
    <row r="86" spans="1:7" x14ac:dyDescent="0.2">
      <c r="A86" s="1" t="s">
        <v>85</v>
      </c>
      <c r="B86">
        <v>9</v>
      </c>
      <c r="C86">
        <v>58</v>
      </c>
      <c r="D86">
        <f t="shared" si="4"/>
        <v>67</v>
      </c>
      <c r="E86" s="2">
        <f t="shared" si="5"/>
        <v>0.13432835820895522</v>
      </c>
      <c r="F86" s="2">
        <f t="shared" si="6"/>
        <v>0.86567164179104472</v>
      </c>
      <c r="G86" t="str">
        <f t="shared" si="7"/>
        <v>International</v>
      </c>
    </row>
    <row r="87" spans="1:7" x14ac:dyDescent="0.2">
      <c r="A87" s="1" t="s">
        <v>86</v>
      </c>
      <c r="B87">
        <v>32</v>
      </c>
      <c r="C87">
        <v>69</v>
      </c>
      <c r="D87">
        <f t="shared" si="4"/>
        <v>101</v>
      </c>
      <c r="E87" s="2">
        <f t="shared" si="5"/>
        <v>0.31683168316831684</v>
      </c>
      <c r="F87" s="2">
        <f t="shared" si="6"/>
        <v>0.68316831683168322</v>
      </c>
      <c r="G87" t="str">
        <f t="shared" si="7"/>
        <v>International</v>
      </c>
    </row>
    <row r="88" spans="1:7" x14ac:dyDescent="0.2">
      <c r="A88" s="1" t="s">
        <v>87</v>
      </c>
      <c r="B88">
        <v>79</v>
      </c>
      <c r="C88">
        <v>83</v>
      </c>
      <c r="D88">
        <f t="shared" si="4"/>
        <v>162</v>
      </c>
      <c r="E88" s="2">
        <f t="shared" si="5"/>
        <v>0.48765432098765432</v>
      </c>
      <c r="F88" s="2">
        <f t="shared" si="6"/>
        <v>0.51234567901234573</v>
      </c>
      <c r="G88" t="str">
        <f t="shared" si="7"/>
        <v>International</v>
      </c>
    </row>
    <row r="89" spans="1:7" x14ac:dyDescent="0.2">
      <c r="A89" s="1" t="s">
        <v>88</v>
      </c>
      <c r="B89">
        <v>46</v>
      </c>
      <c r="C89">
        <v>95</v>
      </c>
      <c r="D89">
        <f t="shared" si="4"/>
        <v>141</v>
      </c>
      <c r="E89" s="2">
        <f t="shared" si="5"/>
        <v>0.32624113475177308</v>
      </c>
      <c r="F89" s="2">
        <f t="shared" si="6"/>
        <v>0.67375886524822692</v>
      </c>
      <c r="G89" t="str">
        <f t="shared" si="7"/>
        <v>International</v>
      </c>
    </row>
    <row r="90" spans="1:7" x14ac:dyDescent="0.2">
      <c r="A90" s="1" t="s">
        <v>89</v>
      </c>
      <c r="B90">
        <v>56</v>
      </c>
      <c r="C90">
        <v>107</v>
      </c>
      <c r="D90">
        <f t="shared" si="4"/>
        <v>163</v>
      </c>
      <c r="E90" s="2">
        <f t="shared" si="5"/>
        <v>0.34355828220858897</v>
      </c>
      <c r="F90" s="2">
        <f t="shared" si="6"/>
        <v>0.65644171779141103</v>
      </c>
      <c r="G90" t="str">
        <f t="shared" si="7"/>
        <v>International</v>
      </c>
    </row>
    <row r="91" spans="1:7" x14ac:dyDescent="0.2">
      <c r="A91" s="1" t="s">
        <v>90</v>
      </c>
      <c r="B91">
        <v>98</v>
      </c>
      <c r="C91">
        <v>121</v>
      </c>
      <c r="D91">
        <f t="shared" si="4"/>
        <v>219</v>
      </c>
      <c r="E91" s="2">
        <f t="shared" si="5"/>
        <v>0.44748858447488582</v>
      </c>
      <c r="F91" s="2">
        <f t="shared" si="6"/>
        <v>0.55251141552511418</v>
      </c>
      <c r="G91" t="str">
        <f t="shared" si="7"/>
        <v>International</v>
      </c>
    </row>
    <row r="92" spans="1:7" x14ac:dyDescent="0.2">
      <c r="A92" s="1" t="s">
        <v>91</v>
      </c>
      <c r="B92">
        <v>65</v>
      </c>
      <c r="C92">
        <v>33</v>
      </c>
      <c r="D92">
        <f t="shared" si="4"/>
        <v>98</v>
      </c>
      <c r="E92" s="2">
        <f t="shared" si="5"/>
        <v>0.66326530612244894</v>
      </c>
      <c r="F92" s="2">
        <f t="shared" si="6"/>
        <v>0.33673469387755101</v>
      </c>
      <c r="G92" t="str">
        <f t="shared" si="7"/>
        <v>Domestic</v>
      </c>
    </row>
    <row r="93" spans="1:7" x14ac:dyDescent="0.2">
      <c r="A93" s="1" t="s">
        <v>92</v>
      </c>
      <c r="B93">
        <v>50</v>
      </c>
      <c r="C93">
        <v>28</v>
      </c>
      <c r="D93">
        <f t="shared" si="4"/>
        <v>78</v>
      </c>
      <c r="E93" s="2">
        <f t="shared" si="5"/>
        <v>0.64102564102564108</v>
      </c>
      <c r="F93" s="2">
        <f t="shared" si="6"/>
        <v>0.35897435897435898</v>
      </c>
      <c r="G93" t="str">
        <f t="shared" si="7"/>
        <v>Domestic</v>
      </c>
    </row>
    <row r="94" spans="1:7" x14ac:dyDescent="0.2">
      <c r="A94" s="1" t="s">
        <v>93</v>
      </c>
      <c r="B94">
        <v>80</v>
      </c>
      <c r="C94">
        <v>11</v>
      </c>
      <c r="D94">
        <f t="shared" si="4"/>
        <v>91</v>
      </c>
      <c r="E94" s="2">
        <f t="shared" si="5"/>
        <v>0.87912087912087911</v>
      </c>
      <c r="F94" s="2">
        <f t="shared" si="6"/>
        <v>0.12087912087912088</v>
      </c>
      <c r="G94" t="str">
        <f t="shared" si="7"/>
        <v>Domestic</v>
      </c>
    </row>
    <row r="95" spans="1:7" x14ac:dyDescent="0.2">
      <c r="A95" s="1" t="s">
        <v>94</v>
      </c>
      <c r="B95">
        <v>90</v>
      </c>
      <c r="C95">
        <v>54</v>
      </c>
      <c r="D95">
        <f t="shared" si="4"/>
        <v>144</v>
      </c>
      <c r="E95" s="2">
        <f t="shared" si="5"/>
        <v>0.625</v>
      </c>
      <c r="F95" s="2">
        <f t="shared" si="6"/>
        <v>0.375</v>
      </c>
      <c r="G95" t="str">
        <f t="shared" si="7"/>
        <v>Domestic</v>
      </c>
    </row>
    <row r="96" spans="1:7" x14ac:dyDescent="0.2">
      <c r="A96" s="1" t="s">
        <v>95</v>
      </c>
      <c r="B96">
        <v>69</v>
      </c>
      <c r="C96">
        <v>63</v>
      </c>
      <c r="D96">
        <f t="shared" si="4"/>
        <v>132</v>
      </c>
      <c r="E96" s="2">
        <f t="shared" si="5"/>
        <v>0.52272727272727271</v>
      </c>
      <c r="F96" s="2">
        <f t="shared" si="6"/>
        <v>0.47727272727272729</v>
      </c>
      <c r="G96" t="str">
        <f t="shared" si="7"/>
        <v>Domestic</v>
      </c>
    </row>
    <row r="97" spans="1:7" x14ac:dyDescent="0.2">
      <c r="A97" s="1" t="s">
        <v>96</v>
      </c>
      <c r="B97">
        <v>89</v>
      </c>
      <c r="C97">
        <v>76</v>
      </c>
      <c r="D97">
        <f t="shared" si="4"/>
        <v>165</v>
      </c>
      <c r="E97" s="2">
        <f t="shared" si="5"/>
        <v>0.53939393939393943</v>
      </c>
      <c r="F97" s="2">
        <f t="shared" si="6"/>
        <v>0.46060606060606063</v>
      </c>
      <c r="G97" t="str">
        <f t="shared" si="7"/>
        <v>Domestic</v>
      </c>
    </row>
    <row r="98" spans="1:7" x14ac:dyDescent="0.2">
      <c r="A98" s="1" t="s">
        <v>97</v>
      </c>
      <c r="B98">
        <v>69</v>
      </c>
      <c r="C98">
        <v>88</v>
      </c>
      <c r="D98">
        <f t="shared" si="4"/>
        <v>157</v>
      </c>
      <c r="E98" s="2">
        <f t="shared" si="5"/>
        <v>0.43949044585987262</v>
      </c>
      <c r="F98" s="2">
        <f t="shared" si="6"/>
        <v>0.56050955414012738</v>
      </c>
      <c r="G98" t="str">
        <f t="shared" si="7"/>
        <v>International</v>
      </c>
    </row>
    <row r="99" spans="1:7" x14ac:dyDescent="0.2">
      <c r="A99" s="1" t="s">
        <v>98</v>
      </c>
      <c r="B99">
        <v>96</v>
      </c>
      <c r="C99">
        <v>56</v>
      </c>
      <c r="D99">
        <f t="shared" si="4"/>
        <v>152</v>
      </c>
      <c r="E99" s="2">
        <f t="shared" si="5"/>
        <v>0.63157894736842102</v>
      </c>
      <c r="F99" s="2">
        <f t="shared" si="6"/>
        <v>0.36842105263157893</v>
      </c>
      <c r="G99" t="str">
        <f t="shared" si="7"/>
        <v>Domestic</v>
      </c>
    </row>
    <row r="100" spans="1:7" x14ac:dyDescent="0.2">
      <c r="A100" s="1" t="s">
        <v>99</v>
      </c>
      <c r="B100">
        <v>66</v>
      </c>
      <c r="C100">
        <v>65</v>
      </c>
      <c r="D100">
        <f t="shared" si="4"/>
        <v>131</v>
      </c>
      <c r="E100" s="2">
        <f t="shared" si="5"/>
        <v>0.50381679389312972</v>
      </c>
      <c r="F100" s="2">
        <f t="shared" si="6"/>
        <v>0.49618320610687022</v>
      </c>
      <c r="G100" t="str">
        <f t="shared" si="7"/>
        <v>Domestic</v>
      </c>
    </row>
    <row r="101" spans="1:7" x14ac:dyDescent="0.2">
      <c r="A101" s="1" t="s">
        <v>100</v>
      </c>
      <c r="B101">
        <v>43</v>
      </c>
      <c r="C101">
        <v>34</v>
      </c>
      <c r="D101">
        <f t="shared" si="4"/>
        <v>77</v>
      </c>
      <c r="E101" s="2">
        <f t="shared" si="5"/>
        <v>0.55844155844155841</v>
      </c>
      <c r="F101" s="2">
        <f t="shared" si="6"/>
        <v>0.44155844155844154</v>
      </c>
      <c r="G101" t="str">
        <f t="shared" si="7"/>
        <v>Domestic</v>
      </c>
    </row>
    <row r="102" spans="1:7" x14ac:dyDescent="0.2">
      <c r="A102" s="1" t="s">
        <v>101</v>
      </c>
      <c r="B102">
        <v>30</v>
      </c>
      <c r="C102">
        <v>23</v>
      </c>
      <c r="D102">
        <f t="shared" si="4"/>
        <v>53</v>
      </c>
      <c r="E102" s="2">
        <f t="shared" si="5"/>
        <v>0.56603773584905659</v>
      </c>
      <c r="F102" s="2">
        <f t="shared" si="6"/>
        <v>0.43396226415094341</v>
      </c>
      <c r="G102" t="str">
        <f t="shared" si="7"/>
        <v>Domestic</v>
      </c>
    </row>
    <row r="103" spans="1:7" x14ac:dyDescent="0.2">
      <c r="A103" s="1" t="s">
        <v>102</v>
      </c>
      <c r="B103">
        <v>25</v>
      </c>
      <c r="C103">
        <v>34</v>
      </c>
      <c r="D103">
        <f t="shared" si="4"/>
        <v>59</v>
      </c>
      <c r="E103" s="2">
        <f t="shared" si="5"/>
        <v>0.42372881355932202</v>
      </c>
      <c r="F103" s="2">
        <f t="shared" si="6"/>
        <v>0.57627118644067798</v>
      </c>
      <c r="G103" t="str">
        <f t="shared" si="7"/>
        <v>International</v>
      </c>
    </row>
    <row r="104" spans="1:7" x14ac:dyDescent="0.2">
      <c r="A104" s="1" t="s">
        <v>103</v>
      </c>
      <c r="B104">
        <v>54</v>
      </c>
      <c r="C104">
        <v>51</v>
      </c>
      <c r="D104">
        <f t="shared" si="4"/>
        <v>105</v>
      </c>
      <c r="E104" s="2">
        <f t="shared" si="5"/>
        <v>0.51428571428571423</v>
      </c>
      <c r="F104" s="2">
        <f t="shared" si="6"/>
        <v>0.48571428571428571</v>
      </c>
      <c r="G104" t="str">
        <f t="shared" si="7"/>
        <v>Domestic</v>
      </c>
    </row>
    <row r="105" spans="1:7" x14ac:dyDescent="0.2">
      <c r="A105" s="1" t="s">
        <v>104</v>
      </c>
      <c r="B105">
        <v>76</v>
      </c>
      <c r="C105">
        <v>65</v>
      </c>
      <c r="D105">
        <f t="shared" si="4"/>
        <v>141</v>
      </c>
      <c r="E105" s="2">
        <f t="shared" si="5"/>
        <v>0.53900709219858156</v>
      </c>
      <c r="F105" s="2">
        <f t="shared" si="6"/>
        <v>0.46099290780141844</v>
      </c>
      <c r="G105" t="str">
        <f t="shared" si="7"/>
        <v>Domestic</v>
      </c>
    </row>
    <row r="106" spans="1:7" x14ac:dyDescent="0.2">
      <c r="A106" s="1" t="s">
        <v>105</v>
      </c>
      <c r="B106">
        <v>43</v>
      </c>
      <c r="C106">
        <v>0</v>
      </c>
      <c r="D106">
        <f t="shared" si="4"/>
        <v>43</v>
      </c>
      <c r="E106" s="2">
        <f t="shared" si="5"/>
        <v>1</v>
      </c>
      <c r="F106" s="2">
        <f t="shared" si="6"/>
        <v>0</v>
      </c>
      <c r="G106" t="str">
        <f t="shared" si="7"/>
        <v>Domestic</v>
      </c>
    </row>
    <row r="107" spans="1:7" x14ac:dyDescent="0.2">
      <c r="A107" s="1" t="s">
        <v>106</v>
      </c>
      <c r="B107">
        <v>49</v>
      </c>
      <c r="C107">
        <v>0</v>
      </c>
      <c r="D107">
        <f t="shared" si="4"/>
        <v>49</v>
      </c>
      <c r="E107" s="2">
        <f t="shared" si="5"/>
        <v>1</v>
      </c>
      <c r="F107" s="2">
        <f t="shared" si="6"/>
        <v>0</v>
      </c>
      <c r="G107" t="str">
        <f t="shared" si="7"/>
        <v>Domestic</v>
      </c>
    </row>
    <row r="108" spans="1:7" x14ac:dyDescent="0.2">
      <c r="A108" s="1" t="s">
        <v>107</v>
      </c>
      <c r="B108">
        <v>57</v>
      </c>
      <c r="C108">
        <v>0</v>
      </c>
      <c r="D108">
        <f t="shared" si="4"/>
        <v>57</v>
      </c>
      <c r="E108" s="2">
        <f t="shared" si="5"/>
        <v>1</v>
      </c>
      <c r="F108" s="2">
        <f t="shared" si="6"/>
        <v>0</v>
      </c>
      <c r="G108" t="str">
        <f t="shared" si="7"/>
        <v>Domestic</v>
      </c>
    </row>
    <row r="109" spans="1:7" x14ac:dyDescent="0.2">
      <c r="A109" s="1" t="s">
        <v>108</v>
      </c>
      <c r="B109">
        <v>65</v>
      </c>
      <c r="C109">
        <v>0</v>
      </c>
      <c r="D109">
        <f t="shared" si="4"/>
        <v>65</v>
      </c>
      <c r="E109" s="2">
        <f t="shared" si="5"/>
        <v>1</v>
      </c>
      <c r="F109" s="2">
        <f t="shared" si="6"/>
        <v>0</v>
      </c>
      <c r="G109" t="str">
        <f t="shared" si="7"/>
        <v>Domestic</v>
      </c>
    </row>
    <row r="110" spans="1:7" x14ac:dyDescent="0.2">
      <c r="A110" s="1" t="s">
        <v>109</v>
      </c>
      <c r="B110">
        <v>72</v>
      </c>
      <c r="C110">
        <v>123</v>
      </c>
      <c r="D110">
        <f t="shared" si="4"/>
        <v>195</v>
      </c>
      <c r="E110" s="2">
        <f t="shared" si="5"/>
        <v>0.36923076923076925</v>
      </c>
      <c r="F110" s="2">
        <f t="shared" si="6"/>
        <v>0.63076923076923075</v>
      </c>
      <c r="G110" t="str">
        <f t="shared" si="7"/>
        <v>International</v>
      </c>
    </row>
    <row r="111" spans="1:7" x14ac:dyDescent="0.2">
      <c r="A111" s="1" t="s">
        <v>110</v>
      </c>
      <c r="B111">
        <v>19</v>
      </c>
      <c r="C111">
        <v>137</v>
      </c>
      <c r="D111">
        <f t="shared" si="4"/>
        <v>156</v>
      </c>
      <c r="E111" s="2">
        <f t="shared" si="5"/>
        <v>0.12179487179487179</v>
      </c>
      <c r="F111" s="2">
        <f t="shared" si="6"/>
        <v>0.87820512820512819</v>
      </c>
      <c r="G111" t="str">
        <f t="shared" si="7"/>
        <v>International</v>
      </c>
    </row>
    <row r="112" spans="1:7" x14ac:dyDescent="0.2">
      <c r="A112" s="1" t="s">
        <v>111</v>
      </c>
      <c r="B112">
        <v>11</v>
      </c>
      <c r="C112">
        <v>41</v>
      </c>
      <c r="D112">
        <f t="shared" si="4"/>
        <v>52</v>
      </c>
      <c r="E112" s="2">
        <f t="shared" si="5"/>
        <v>0.21153846153846154</v>
      </c>
      <c r="F112" s="2">
        <f t="shared" si="6"/>
        <v>0.78846153846153844</v>
      </c>
      <c r="G112" t="str">
        <f t="shared" si="7"/>
        <v>International</v>
      </c>
    </row>
    <row r="113" spans="1:7" x14ac:dyDescent="0.2">
      <c r="A113" s="1" t="s">
        <v>112</v>
      </c>
      <c r="B113">
        <v>8</v>
      </c>
      <c r="C113">
        <v>23</v>
      </c>
      <c r="D113">
        <f t="shared" si="4"/>
        <v>31</v>
      </c>
      <c r="E113" s="2">
        <f t="shared" si="5"/>
        <v>0.25806451612903225</v>
      </c>
      <c r="F113" s="2">
        <f t="shared" si="6"/>
        <v>0.74193548387096775</v>
      </c>
      <c r="G113" t="str">
        <f t="shared" si="7"/>
        <v>International</v>
      </c>
    </row>
    <row r="114" spans="1:7" x14ac:dyDescent="0.2">
      <c r="A114" s="1" t="s">
        <v>113</v>
      </c>
      <c r="B114">
        <v>28</v>
      </c>
      <c r="C114">
        <v>17</v>
      </c>
      <c r="D114">
        <f t="shared" si="4"/>
        <v>45</v>
      </c>
      <c r="E114" s="2">
        <f t="shared" si="5"/>
        <v>0.62222222222222223</v>
      </c>
      <c r="F114" s="2">
        <f t="shared" si="6"/>
        <v>0.37777777777777777</v>
      </c>
      <c r="G114" t="str">
        <f t="shared" si="7"/>
        <v>Domestic</v>
      </c>
    </row>
    <row r="115" spans="1:7" x14ac:dyDescent="0.2">
      <c r="A115" s="1" t="s">
        <v>114</v>
      </c>
      <c r="B115">
        <v>33</v>
      </c>
      <c r="C115">
        <v>56</v>
      </c>
      <c r="D115">
        <f t="shared" si="4"/>
        <v>89</v>
      </c>
      <c r="E115" s="2">
        <f t="shared" si="5"/>
        <v>0.3707865168539326</v>
      </c>
      <c r="F115" s="2">
        <f t="shared" si="6"/>
        <v>0.6292134831460674</v>
      </c>
      <c r="G115" t="str">
        <f t="shared" si="7"/>
        <v>International</v>
      </c>
    </row>
    <row r="116" spans="1:7" x14ac:dyDescent="0.2">
      <c r="A116" s="1" t="s">
        <v>115</v>
      </c>
      <c r="B116">
        <v>39</v>
      </c>
      <c r="C116">
        <v>68</v>
      </c>
      <c r="D116">
        <f t="shared" si="4"/>
        <v>107</v>
      </c>
      <c r="E116" s="2">
        <f t="shared" si="5"/>
        <v>0.3644859813084112</v>
      </c>
      <c r="F116" s="2">
        <f t="shared" si="6"/>
        <v>0.63551401869158874</v>
      </c>
      <c r="G116" t="str">
        <f t="shared" si="7"/>
        <v>International</v>
      </c>
    </row>
    <row r="117" spans="1:7" x14ac:dyDescent="0.2">
      <c r="A117" s="1" t="s">
        <v>116</v>
      </c>
      <c r="B117">
        <v>45</v>
      </c>
      <c r="C117">
        <v>79</v>
      </c>
      <c r="D117">
        <f t="shared" si="4"/>
        <v>124</v>
      </c>
      <c r="E117" s="2">
        <f t="shared" si="5"/>
        <v>0.36290322580645162</v>
      </c>
      <c r="F117" s="2">
        <f t="shared" si="6"/>
        <v>0.63709677419354838</v>
      </c>
      <c r="G117" t="str">
        <f t="shared" si="7"/>
        <v>International</v>
      </c>
    </row>
    <row r="118" spans="1:7" x14ac:dyDescent="0.2">
      <c r="A118" s="1" t="s">
        <v>117</v>
      </c>
      <c r="B118">
        <v>53</v>
      </c>
      <c r="C118">
        <v>92</v>
      </c>
      <c r="D118">
        <f t="shared" si="4"/>
        <v>145</v>
      </c>
      <c r="E118" s="2">
        <f t="shared" si="5"/>
        <v>0.36551724137931035</v>
      </c>
      <c r="F118" s="2">
        <f t="shared" si="6"/>
        <v>0.6344827586206897</v>
      </c>
      <c r="G118" t="str">
        <f t="shared" si="7"/>
        <v>International</v>
      </c>
    </row>
    <row r="119" spans="1:7" x14ac:dyDescent="0.2">
      <c r="A119" s="1" t="s">
        <v>118</v>
      </c>
      <c r="B119">
        <v>61</v>
      </c>
      <c r="C119">
        <v>105</v>
      </c>
      <c r="D119">
        <f t="shared" si="4"/>
        <v>166</v>
      </c>
      <c r="E119" s="2">
        <f t="shared" si="5"/>
        <v>0.36746987951807231</v>
      </c>
      <c r="F119" s="2">
        <f t="shared" si="6"/>
        <v>0.63253012048192769</v>
      </c>
      <c r="G119" t="str">
        <f t="shared" si="7"/>
        <v>International</v>
      </c>
    </row>
    <row r="120" spans="1:7" x14ac:dyDescent="0.2">
      <c r="A120" s="1" t="s">
        <v>119</v>
      </c>
      <c r="B120">
        <v>69</v>
      </c>
      <c r="C120">
        <v>118</v>
      </c>
      <c r="D120">
        <f t="shared" si="4"/>
        <v>187</v>
      </c>
      <c r="E120" s="2">
        <f t="shared" si="5"/>
        <v>0.36898395721925131</v>
      </c>
      <c r="F120" s="2">
        <f t="shared" si="6"/>
        <v>0.63101604278074863</v>
      </c>
      <c r="G120" t="str">
        <f t="shared" si="7"/>
        <v>International</v>
      </c>
    </row>
    <row r="121" spans="1:7" x14ac:dyDescent="0.2">
      <c r="A121" s="1" t="s">
        <v>120</v>
      </c>
      <c r="B121">
        <v>76</v>
      </c>
      <c r="C121">
        <v>132</v>
      </c>
      <c r="D121">
        <f t="shared" si="4"/>
        <v>208</v>
      </c>
      <c r="E121" s="2">
        <f t="shared" si="5"/>
        <v>0.36538461538461536</v>
      </c>
      <c r="F121" s="2">
        <f t="shared" si="6"/>
        <v>0.63461538461538458</v>
      </c>
      <c r="G121" t="str">
        <f t="shared" si="7"/>
        <v>International</v>
      </c>
    </row>
    <row r="122" spans="1:7" x14ac:dyDescent="0.2">
      <c r="A122" s="1" t="s">
        <v>121</v>
      </c>
      <c r="B122">
        <v>16</v>
      </c>
      <c r="C122">
        <v>145</v>
      </c>
      <c r="D122">
        <f t="shared" si="4"/>
        <v>161</v>
      </c>
      <c r="E122" s="2">
        <f t="shared" si="5"/>
        <v>9.9378881987577633E-2</v>
      </c>
      <c r="F122" s="2">
        <f t="shared" si="6"/>
        <v>0.90062111801242239</v>
      </c>
      <c r="G122" t="str">
        <f t="shared" si="7"/>
        <v>International</v>
      </c>
    </row>
    <row r="123" spans="1:7" x14ac:dyDescent="0.2">
      <c r="A123" s="1" t="s">
        <v>122</v>
      </c>
      <c r="B123">
        <v>22</v>
      </c>
      <c r="C123">
        <v>26</v>
      </c>
      <c r="D123">
        <f t="shared" si="4"/>
        <v>48</v>
      </c>
      <c r="E123" s="2">
        <f t="shared" si="5"/>
        <v>0.45833333333333331</v>
      </c>
      <c r="F123" s="2">
        <f t="shared" si="6"/>
        <v>0.54166666666666663</v>
      </c>
      <c r="G123" t="str">
        <f t="shared" si="7"/>
        <v>International</v>
      </c>
    </row>
    <row r="124" spans="1:7" x14ac:dyDescent="0.2">
      <c r="A124" s="1" t="s">
        <v>123</v>
      </c>
      <c r="B124">
        <v>26</v>
      </c>
      <c r="C124">
        <v>37</v>
      </c>
      <c r="D124">
        <f t="shared" si="4"/>
        <v>63</v>
      </c>
      <c r="E124" s="2">
        <f t="shared" si="5"/>
        <v>0.41269841269841268</v>
      </c>
      <c r="F124" s="2">
        <f t="shared" si="6"/>
        <v>0.58730158730158732</v>
      </c>
      <c r="G124" t="str">
        <f t="shared" si="7"/>
        <v>International</v>
      </c>
    </row>
    <row r="125" spans="1:7" x14ac:dyDescent="0.2">
      <c r="A125" s="1" t="s">
        <v>124</v>
      </c>
      <c r="B125">
        <v>30</v>
      </c>
      <c r="C125">
        <v>49</v>
      </c>
      <c r="D125">
        <f t="shared" si="4"/>
        <v>79</v>
      </c>
      <c r="E125" s="2">
        <f t="shared" si="5"/>
        <v>0.379746835443038</v>
      </c>
      <c r="F125" s="2">
        <f t="shared" si="6"/>
        <v>0.620253164556962</v>
      </c>
      <c r="G125" t="str">
        <f t="shared" si="7"/>
        <v>International</v>
      </c>
    </row>
    <row r="126" spans="1:7" x14ac:dyDescent="0.2">
      <c r="A126" s="1" t="s">
        <v>125</v>
      </c>
      <c r="B126">
        <v>36</v>
      </c>
      <c r="C126">
        <v>60</v>
      </c>
      <c r="D126">
        <f t="shared" si="4"/>
        <v>96</v>
      </c>
      <c r="E126" s="2">
        <f t="shared" si="5"/>
        <v>0.375</v>
      </c>
      <c r="F126" s="2">
        <f t="shared" si="6"/>
        <v>0.625</v>
      </c>
      <c r="G126" t="str">
        <f t="shared" si="7"/>
        <v>International</v>
      </c>
    </row>
    <row r="127" spans="1:7" x14ac:dyDescent="0.2">
      <c r="A127" s="1" t="s">
        <v>126</v>
      </c>
      <c r="B127">
        <v>42</v>
      </c>
      <c r="C127">
        <v>70</v>
      </c>
      <c r="D127">
        <f t="shared" si="4"/>
        <v>112</v>
      </c>
      <c r="E127" s="2">
        <f t="shared" si="5"/>
        <v>0.375</v>
      </c>
      <c r="F127" s="2">
        <f t="shared" si="6"/>
        <v>0.625</v>
      </c>
      <c r="G127" t="str">
        <f t="shared" si="7"/>
        <v>International</v>
      </c>
    </row>
    <row r="128" spans="1:7" x14ac:dyDescent="0.2">
      <c r="A128" s="1" t="s">
        <v>127</v>
      </c>
      <c r="B128">
        <v>47</v>
      </c>
      <c r="C128">
        <v>0</v>
      </c>
      <c r="D128">
        <f t="shared" si="4"/>
        <v>47</v>
      </c>
      <c r="E128" s="2">
        <f t="shared" si="5"/>
        <v>1</v>
      </c>
      <c r="F128" s="2">
        <f t="shared" si="6"/>
        <v>0</v>
      </c>
      <c r="G128" t="str">
        <f t="shared" si="7"/>
        <v>Domestic</v>
      </c>
    </row>
    <row r="129" spans="1:7" x14ac:dyDescent="0.2">
      <c r="A129" s="1" t="s">
        <v>128</v>
      </c>
      <c r="B129">
        <v>54</v>
      </c>
      <c r="C129">
        <v>0</v>
      </c>
      <c r="D129">
        <f t="shared" si="4"/>
        <v>54</v>
      </c>
      <c r="E129" s="2">
        <f t="shared" si="5"/>
        <v>1</v>
      </c>
      <c r="F129" s="2">
        <f t="shared" si="6"/>
        <v>0</v>
      </c>
      <c r="G129" t="str">
        <f t="shared" si="7"/>
        <v>Domestic</v>
      </c>
    </row>
    <row r="130" spans="1:7" x14ac:dyDescent="0.2">
      <c r="A130" s="1" t="s">
        <v>129</v>
      </c>
      <c r="B130">
        <v>62</v>
      </c>
      <c r="C130">
        <v>0</v>
      </c>
      <c r="D130">
        <f t="shared" si="4"/>
        <v>62</v>
      </c>
      <c r="E130" s="2">
        <f t="shared" si="5"/>
        <v>1</v>
      </c>
      <c r="F130" s="2">
        <f t="shared" si="6"/>
        <v>0</v>
      </c>
      <c r="G130" t="str">
        <f t="shared" si="7"/>
        <v>Domestic</v>
      </c>
    </row>
    <row r="131" spans="1:7" x14ac:dyDescent="0.2">
      <c r="A131" s="1" t="s">
        <v>130</v>
      </c>
      <c r="B131">
        <v>70</v>
      </c>
      <c r="C131">
        <v>0</v>
      </c>
      <c r="D131">
        <f t="shared" ref="D131:D194" si="8">B131+C131</f>
        <v>70</v>
      </c>
      <c r="E131" s="2">
        <f t="shared" ref="E131:E194" si="9">B131/D131</f>
        <v>1</v>
      </c>
      <c r="F131" s="2">
        <f t="shared" ref="F131:F194" si="10">C131/D131</f>
        <v>0</v>
      </c>
      <c r="G131" t="str">
        <f t="shared" ref="G131:G194" si="11">IF(F131&gt;E131,"International","Domestic")</f>
        <v>Domestic</v>
      </c>
    </row>
    <row r="132" spans="1:7" x14ac:dyDescent="0.2">
      <c r="A132" s="1" t="s">
        <v>131</v>
      </c>
      <c r="B132">
        <v>78</v>
      </c>
      <c r="C132">
        <v>0</v>
      </c>
      <c r="D132">
        <f t="shared" si="8"/>
        <v>78</v>
      </c>
      <c r="E132" s="2">
        <f t="shared" si="9"/>
        <v>1</v>
      </c>
      <c r="F132" s="2">
        <f t="shared" si="10"/>
        <v>0</v>
      </c>
      <c r="G132" t="str">
        <f t="shared" si="11"/>
        <v>Domestic</v>
      </c>
    </row>
    <row r="133" spans="1:7" x14ac:dyDescent="0.2">
      <c r="A133" s="1" t="s">
        <v>132</v>
      </c>
      <c r="B133">
        <v>20</v>
      </c>
      <c r="C133">
        <v>152</v>
      </c>
      <c r="D133">
        <f t="shared" si="8"/>
        <v>172</v>
      </c>
      <c r="E133" s="2">
        <f t="shared" si="9"/>
        <v>0.11627906976744186</v>
      </c>
      <c r="F133" s="2">
        <f t="shared" si="10"/>
        <v>0.88372093023255816</v>
      </c>
      <c r="G133" t="str">
        <f t="shared" si="11"/>
        <v>International</v>
      </c>
    </row>
    <row r="134" spans="1:7" x14ac:dyDescent="0.2">
      <c r="A134" s="1" t="s">
        <v>133</v>
      </c>
      <c r="B134">
        <v>13</v>
      </c>
      <c r="C134">
        <v>31</v>
      </c>
      <c r="D134">
        <f t="shared" si="8"/>
        <v>44</v>
      </c>
      <c r="E134" s="2">
        <f t="shared" si="9"/>
        <v>0.29545454545454547</v>
      </c>
      <c r="F134" s="2">
        <f t="shared" si="10"/>
        <v>0.70454545454545459</v>
      </c>
      <c r="G134" t="str">
        <f t="shared" si="11"/>
        <v>International</v>
      </c>
    </row>
    <row r="135" spans="1:7" x14ac:dyDescent="0.2">
      <c r="A135" s="1" t="s">
        <v>134</v>
      </c>
      <c r="B135">
        <v>9</v>
      </c>
      <c r="C135">
        <v>19</v>
      </c>
      <c r="D135">
        <f t="shared" si="8"/>
        <v>28</v>
      </c>
      <c r="E135" s="2">
        <f t="shared" si="9"/>
        <v>0.32142857142857145</v>
      </c>
      <c r="F135" s="2">
        <f t="shared" si="10"/>
        <v>0.6785714285714286</v>
      </c>
      <c r="G135" t="str">
        <f t="shared" si="11"/>
        <v>International</v>
      </c>
    </row>
    <row r="136" spans="1:7" x14ac:dyDescent="0.2">
      <c r="A136" s="1" t="s">
        <v>135</v>
      </c>
      <c r="B136">
        <v>24</v>
      </c>
      <c r="C136">
        <v>44</v>
      </c>
      <c r="D136">
        <f t="shared" si="8"/>
        <v>68</v>
      </c>
      <c r="E136" s="2">
        <f t="shared" si="9"/>
        <v>0.35294117647058826</v>
      </c>
      <c r="F136" s="2">
        <f t="shared" si="10"/>
        <v>0.6470588235294118</v>
      </c>
      <c r="G136" t="str">
        <f t="shared" si="11"/>
        <v>International</v>
      </c>
    </row>
    <row r="137" spans="1:7" x14ac:dyDescent="0.2">
      <c r="A137" s="1" t="s">
        <v>136</v>
      </c>
      <c r="B137">
        <v>300</v>
      </c>
      <c r="C137">
        <v>57</v>
      </c>
      <c r="D137">
        <f t="shared" si="8"/>
        <v>357</v>
      </c>
      <c r="E137" s="2">
        <f t="shared" si="9"/>
        <v>0.84033613445378152</v>
      </c>
      <c r="F137" s="2">
        <f t="shared" si="10"/>
        <v>0.15966386554621848</v>
      </c>
      <c r="G137" t="str">
        <f t="shared" si="11"/>
        <v>Domestic</v>
      </c>
    </row>
    <row r="138" spans="1:7" x14ac:dyDescent="0.2">
      <c r="A138" s="1" t="s">
        <v>137</v>
      </c>
      <c r="B138">
        <v>35</v>
      </c>
      <c r="C138">
        <v>66</v>
      </c>
      <c r="D138">
        <f t="shared" si="8"/>
        <v>101</v>
      </c>
      <c r="E138" s="2">
        <f t="shared" si="9"/>
        <v>0.34653465346534651</v>
      </c>
      <c r="F138" s="2">
        <f t="shared" si="10"/>
        <v>0.65346534653465349</v>
      </c>
      <c r="G138" t="str">
        <f t="shared" si="11"/>
        <v>International</v>
      </c>
    </row>
    <row r="139" spans="1:7" x14ac:dyDescent="0.2">
      <c r="A139" s="1" t="s">
        <v>138</v>
      </c>
      <c r="B139">
        <v>41</v>
      </c>
      <c r="C139">
        <v>0</v>
      </c>
      <c r="D139">
        <f t="shared" si="8"/>
        <v>41</v>
      </c>
      <c r="E139" s="2">
        <f t="shared" si="9"/>
        <v>1</v>
      </c>
      <c r="F139" s="2">
        <f t="shared" si="10"/>
        <v>0</v>
      </c>
      <c r="G139" t="str">
        <f t="shared" si="11"/>
        <v>Domestic</v>
      </c>
    </row>
    <row r="140" spans="1:7" x14ac:dyDescent="0.2">
      <c r="A140" s="1" t="s">
        <v>139</v>
      </c>
      <c r="B140">
        <v>48</v>
      </c>
      <c r="C140">
        <v>0</v>
      </c>
      <c r="D140">
        <f t="shared" si="8"/>
        <v>48</v>
      </c>
      <c r="E140" s="2">
        <f t="shared" si="9"/>
        <v>1</v>
      </c>
      <c r="F140" s="2">
        <f t="shared" si="10"/>
        <v>0</v>
      </c>
      <c r="G140" t="str">
        <f t="shared" si="11"/>
        <v>Domestic</v>
      </c>
    </row>
    <row r="141" spans="1:7" x14ac:dyDescent="0.2">
      <c r="A141" s="1" t="s">
        <v>140</v>
      </c>
      <c r="B141">
        <v>56</v>
      </c>
      <c r="C141">
        <v>0</v>
      </c>
      <c r="D141">
        <f t="shared" si="8"/>
        <v>56</v>
      </c>
      <c r="E141" s="2">
        <f t="shared" si="9"/>
        <v>1</v>
      </c>
      <c r="F141" s="2">
        <f t="shared" si="10"/>
        <v>0</v>
      </c>
      <c r="G141" t="str">
        <f t="shared" si="11"/>
        <v>Domestic</v>
      </c>
    </row>
    <row r="142" spans="1:7" x14ac:dyDescent="0.2">
      <c r="A142" s="1" t="s">
        <v>141</v>
      </c>
      <c r="B142">
        <v>64</v>
      </c>
      <c r="C142">
        <v>0</v>
      </c>
      <c r="D142">
        <f t="shared" si="8"/>
        <v>64</v>
      </c>
      <c r="E142" s="2">
        <f t="shared" si="9"/>
        <v>1</v>
      </c>
      <c r="F142" s="2">
        <f t="shared" si="10"/>
        <v>0</v>
      </c>
      <c r="G142" t="str">
        <f t="shared" si="11"/>
        <v>Domestic</v>
      </c>
    </row>
    <row r="143" spans="1:7" x14ac:dyDescent="0.2">
      <c r="A143" s="1" t="s">
        <v>142</v>
      </c>
      <c r="B143">
        <v>73</v>
      </c>
      <c r="C143">
        <v>131</v>
      </c>
      <c r="D143">
        <f t="shared" si="8"/>
        <v>204</v>
      </c>
      <c r="E143" s="2">
        <f t="shared" si="9"/>
        <v>0.35784313725490197</v>
      </c>
      <c r="F143" s="2">
        <f t="shared" si="10"/>
        <v>0.64215686274509809</v>
      </c>
      <c r="G143" t="str">
        <f t="shared" si="11"/>
        <v>International</v>
      </c>
    </row>
    <row r="144" spans="1:7" x14ac:dyDescent="0.2">
      <c r="A144" s="1" t="s">
        <v>143</v>
      </c>
      <c r="B144">
        <v>81</v>
      </c>
      <c r="C144">
        <v>146</v>
      </c>
      <c r="D144">
        <f t="shared" si="8"/>
        <v>227</v>
      </c>
      <c r="E144" s="2">
        <f t="shared" si="9"/>
        <v>0.35682819383259912</v>
      </c>
      <c r="F144" s="2">
        <f t="shared" si="10"/>
        <v>0.64317180616740088</v>
      </c>
      <c r="G144" t="str">
        <f t="shared" si="11"/>
        <v>International</v>
      </c>
    </row>
    <row r="145" spans="1:7" x14ac:dyDescent="0.2">
      <c r="A145" s="1" t="s">
        <v>144</v>
      </c>
      <c r="B145">
        <v>17</v>
      </c>
      <c r="C145">
        <v>158</v>
      </c>
      <c r="D145">
        <f t="shared" si="8"/>
        <v>175</v>
      </c>
      <c r="E145" s="2">
        <f t="shared" si="9"/>
        <v>9.7142857142857142E-2</v>
      </c>
      <c r="F145" s="2">
        <f t="shared" si="10"/>
        <v>0.9028571428571428</v>
      </c>
      <c r="G145" t="str">
        <f t="shared" si="11"/>
        <v>International</v>
      </c>
    </row>
    <row r="146" spans="1:7" x14ac:dyDescent="0.2">
      <c r="A146" s="1" t="s">
        <v>145</v>
      </c>
      <c r="B146">
        <v>23</v>
      </c>
      <c r="C146">
        <v>172</v>
      </c>
      <c r="D146">
        <f t="shared" si="8"/>
        <v>195</v>
      </c>
      <c r="E146" s="2">
        <f t="shared" si="9"/>
        <v>0.11794871794871795</v>
      </c>
      <c r="F146" s="2">
        <f t="shared" si="10"/>
        <v>0.88205128205128203</v>
      </c>
      <c r="G146" t="str">
        <f t="shared" si="11"/>
        <v>International</v>
      </c>
    </row>
    <row r="147" spans="1:7" x14ac:dyDescent="0.2">
      <c r="A147" s="1" t="s">
        <v>146</v>
      </c>
      <c r="B147">
        <v>27</v>
      </c>
      <c r="C147">
        <v>184</v>
      </c>
      <c r="D147">
        <f t="shared" si="8"/>
        <v>211</v>
      </c>
      <c r="E147" s="2">
        <f t="shared" si="9"/>
        <v>0.12796208530805686</v>
      </c>
      <c r="F147" s="2">
        <f t="shared" si="10"/>
        <v>0.87203791469194314</v>
      </c>
      <c r="G147" t="str">
        <f t="shared" si="11"/>
        <v>International</v>
      </c>
    </row>
    <row r="148" spans="1:7" x14ac:dyDescent="0.2">
      <c r="A148" s="1" t="s">
        <v>147</v>
      </c>
      <c r="B148">
        <v>32</v>
      </c>
      <c r="C148">
        <v>193</v>
      </c>
      <c r="D148">
        <f t="shared" si="8"/>
        <v>225</v>
      </c>
      <c r="E148" s="2">
        <f t="shared" si="9"/>
        <v>0.14222222222222222</v>
      </c>
      <c r="F148" s="2">
        <f t="shared" si="10"/>
        <v>0.85777777777777775</v>
      </c>
      <c r="G148" t="str">
        <f t="shared" si="11"/>
        <v>International</v>
      </c>
    </row>
    <row r="149" spans="1:7" x14ac:dyDescent="0.2">
      <c r="A149" s="1" t="s">
        <v>148</v>
      </c>
      <c r="B149">
        <v>38</v>
      </c>
      <c r="C149">
        <v>199</v>
      </c>
      <c r="D149">
        <f t="shared" si="8"/>
        <v>237</v>
      </c>
      <c r="E149" s="2">
        <f t="shared" si="9"/>
        <v>0.16033755274261605</v>
      </c>
      <c r="F149" s="2">
        <f t="shared" si="10"/>
        <v>0.83966244725738393</v>
      </c>
      <c r="G149" t="str">
        <f t="shared" si="11"/>
        <v>International</v>
      </c>
    </row>
    <row r="150" spans="1:7" x14ac:dyDescent="0.2">
      <c r="A150" s="1" t="s">
        <v>149</v>
      </c>
      <c r="B150">
        <v>44</v>
      </c>
      <c r="C150">
        <v>12</v>
      </c>
      <c r="D150">
        <f t="shared" si="8"/>
        <v>56</v>
      </c>
      <c r="E150" s="2">
        <f t="shared" si="9"/>
        <v>0.7857142857142857</v>
      </c>
      <c r="F150" s="2">
        <f t="shared" si="10"/>
        <v>0.21428571428571427</v>
      </c>
      <c r="G150" t="str">
        <f t="shared" si="11"/>
        <v>Domestic</v>
      </c>
    </row>
    <row r="151" spans="1:7" x14ac:dyDescent="0.2">
      <c r="A151" s="1" t="s">
        <v>150</v>
      </c>
      <c r="B151">
        <v>51</v>
      </c>
      <c r="C151">
        <v>27</v>
      </c>
      <c r="D151">
        <f t="shared" si="8"/>
        <v>78</v>
      </c>
      <c r="E151" s="2">
        <f t="shared" si="9"/>
        <v>0.65384615384615385</v>
      </c>
      <c r="F151" s="2">
        <f t="shared" si="10"/>
        <v>0.34615384615384615</v>
      </c>
      <c r="G151" t="str">
        <f t="shared" si="11"/>
        <v>Domestic</v>
      </c>
    </row>
    <row r="152" spans="1:7" x14ac:dyDescent="0.2">
      <c r="A152" s="1" t="s">
        <v>151</v>
      </c>
      <c r="B152">
        <v>30</v>
      </c>
      <c r="C152">
        <v>35</v>
      </c>
      <c r="D152">
        <f t="shared" si="8"/>
        <v>65</v>
      </c>
      <c r="E152" s="2">
        <f t="shared" si="9"/>
        <v>0.46153846153846156</v>
      </c>
      <c r="F152" s="2">
        <f t="shared" si="10"/>
        <v>0.53846153846153844</v>
      </c>
      <c r="G152" t="str">
        <f t="shared" si="11"/>
        <v>International</v>
      </c>
    </row>
    <row r="153" spans="1:7" x14ac:dyDescent="0.2">
      <c r="A153" s="1" t="s">
        <v>152</v>
      </c>
      <c r="B153">
        <v>67</v>
      </c>
      <c r="C153">
        <v>48</v>
      </c>
      <c r="D153">
        <f t="shared" si="8"/>
        <v>115</v>
      </c>
      <c r="E153" s="2">
        <f t="shared" si="9"/>
        <v>0.58260869565217388</v>
      </c>
      <c r="F153" s="2">
        <f t="shared" si="10"/>
        <v>0.41739130434782606</v>
      </c>
      <c r="G153" t="str">
        <f t="shared" si="11"/>
        <v>Domestic</v>
      </c>
    </row>
    <row r="154" spans="1:7" x14ac:dyDescent="0.2">
      <c r="A154" s="1" t="s">
        <v>153</v>
      </c>
      <c r="B154">
        <v>75</v>
      </c>
      <c r="C154">
        <v>19</v>
      </c>
      <c r="D154">
        <f t="shared" si="8"/>
        <v>94</v>
      </c>
      <c r="E154" s="2">
        <f t="shared" si="9"/>
        <v>0.7978723404255319</v>
      </c>
      <c r="F154" s="2">
        <f t="shared" si="10"/>
        <v>0.20212765957446807</v>
      </c>
      <c r="G154" t="str">
        <f t="shared" si="11"/>
        <v>Domestic</v>
      </c>
    </row>
    <row r="155" spans="1:7" x14ac:dyDescent="0.2">
      <c r="A155" s="1" t="s">
        <v>154</v>
      </c>
      <c r="B155">
        <v>88</v>
      </c>
      <c r="C155">
        <v>0</v>
      </c>
      <c r="D155">
        <f t="shared" si="8"/>
        <v>88</v>
      </c>
      <c r="E155" s="2">
        <f t="shared" si="9"/>
        <v>1</v>
      </c>
      <c r="F155" s="2">
        <f t="shared" si="10"/>
        <v>0</v>
      </c>
      <c r="G155" t="str">
        <f t="shared" si="11"/>
        <v>Domestic</v>
      </c>
    </row>
    <row r="156" spans="1:7" x14ac:dyDescent="0.2">
      <c r="A156" s="1" t="s">
        <v>155</v>
      </c>
      <c r="B156">
        <v>95</v>
      </c>
      <c r="C156">
        <v>0</v>
      </c>
      <c r="D156">
        <f t="shared" si="8"/>
        <v>95</v>
      </c>
      <c r="E156" s="2">
        <f t="shared" si="9"/>
        <v>1</v>
      </c>
      <c r="F156" s="2">
        <f t="shared" si="10"/>
        <v>0</v>
      </c>
      <c r="G156" t="str">
        <f t="shared" si="11"/>
        <v>Domestic</v>
      </c>
    </row>
    <row r="157" spans="1:7" x14ac:dyDescent="0.2">
      <c r="A157" s="1" t="s">
        <v>156</v>
      </c>
      <c r="B157">
        <v>104</v>
      </c>
      <c r="C157">
        <v>0</v>
      </c>
      <c r="D157">
        <f t="shared" si="8"/>
        <v>104</v>
      </c>
      <c r="E157" s="2">
        <f t="shared" si="9"/>
        <v>1</v>
      </c>
      <c r="F157" s="2">
        <f t="shared" si="10"/>
        <v>0</v>
      </c>
      <c r="G157" t="str">
        <f t="shared" si="11"/>
        <v>Domestic</v>
      </c>
    </row>
    <row r="158" spans="1:7" x14ac:dyDescent="0.2">
      <c r="A158" s="1" t="s">
        <v>157</v>
      </c>
      <c r="B158">
        <v>112</v>
      </c>
      <c r="C158">
        <v>0</v>
      </c>
      <c r="D158">
        <f t="shared" si="8"/>
        <v>112</v>
      </c>
      <c r="E158" s="2">
        <f t="shared" si="9"/>
        <v>1</v>
      </c>
      <c r="F158" s="2">
        <f t="shared" si="10"/>
        <v>0</v>
      </c>
      <c r="G158" t="str">
        <f t="shared" si="11"/>
        <v>Domestic</v>
      </c>
    </row>
    <row r="159" spans="1:7" x14ac:dyDescent="0.2">
      <c r="A159" s="1" t="s">
        <v>158</v>
      </c>
      <c r="B159">
        <v>118</v>
      </c>
      <c r="C159">
        <v>55</v>
      </c>
      <c r="D159">
        <f t="shared" si="8"/>
        <v>173</v>
      </c>
      <c r="E159" s="2">
        <f t="shared" si="9"/>
        <v>0.68208092485549132</v>
      </c>
      <c r="F159" s="2">
        <f t="shared" si="10"/>
        <v>0.31791907514450868</v>
      </c>
      <c r="G159" t="str">
        <f t="shared" si="11"/>
        <v>Domestic</v>
      </c>
    </row>
    <row r="160" spans="1:7" x14ac:dyDescent="0.2">
      <c r="A160" s="1" t="s">
        <v>159</v>
      </c>
      <c r="B160">
        <v>120</v>
      </c>
      <c r="C160">
        <v>18</v>
      </c>
      <c r="D160">
        <f t="shared" si="8"/>
        <v>138</v>
      </c>
      <c r="E160" s="2">
        <f t="shared" si="9"/>
        <v>0.86956521739130432</v>
      </c>
      <c r="F160" s="2">
        <f t="shared" si="10"/>
        <v>0.13043478260869565</v>
      </c>
      <c r="G160" t="str">
        <f t="shared" si="11"/>
        <v>Domestic</v>
      </c>
    </row>
    <row r="161" spans="1:7" x14ac:dyDescent="0.2">
      <c r="A161" s="1" t="s">
        <v>160</v>
      </c>
      <c r="B161">
        <v>7</v>
      </c>
      <c r="C161">
        <v>9</v>
      </c>
      <c r="D161">
        <f t="shared" si="8"/>
        <v>16</v>
      </c>
      <c r="E161" s="2">
        <f t="shared" si="9"/>
        <v>0.4375</v>
      </c>
      <c r="F161" s="2">
        <f t="shared" si="10"/>
        <v>0.5625</v>
      </c>
      <c r="G161" t="str">
        <f t="shared" si="11"/>
        <v>International</v>
      </c>
    </row>
    <row r="162" spans="1:7" x14ac:dyDescent="0.2">
      <c r="A162" s="1" t="s">
        <v>161</v>
      </c>
      <c r="B162">
        <v>12</v>
      </c>
      <c r="C162">
        <v>44</v>
      </c>
      <c r="D162">
        <f t="shared" si="8"/>
        <v>56</v>
      </c>
      <c r="E162" s="2">
        <f t="shared" si="9"/>
        <v>0.21428571428571427</v>
      </c>
      <c r="F162" s="2">
        <f t="shared" si="10"/>
        <v>0.7857142857142857</v>
      </c>
      <c r="G162" t="str">
        <f t="shared" si="11"/>
        <v>International</v>
      </c>
    </row>
    <row r="163" spans="1:7" x14ac:dyDescent="0.2">
      <c r="A163" s="1" t="s">
        <v>162</v>
      </c>
      <c r="B163">
        <v>18</v>
      </c>
      <c r="C163">
        <v>68</v>
      </c>
      <c r="D163">
        <f t="shared" si="8"/>
        <v>86</v>
      </c>
      <c r="E163" s="2">
        <f t="shared" si="9"/>
        <v>0.20930232558139536</v>
      </c>
      <c r="F163" s="2">
        <f t="shared" si="10"/>
        <v>0.79069767441860461</v>
      </c>
      <c r="G163" t="str">
        <f t="shared" si="11"/>
        <v>International</v>
      </c>
    </row>
    <row r="164" spans="1:7" x14ac:dyDescent="0.2">
      <c r="A164" s="1" t="s">
        <v>163</v>
      </c>
      <c r="B164">
        <v>25</v>
      </c>
      <c r="C164">
        <v>82</v>
      </c>
      <c r="D164">
        <f t="shared" si="8"/>
        <v>107</v>
      </c>
      <c r="E164" s="2">
        <f t="shared" si="9"/>
        <v>0.23364485981308411</v>
      </c>
      <c r="F164" s="2">
        <f t="shared" si="10"/>
        <v>0.76635514018691586</v>
      </c>
      <c r="G164" t="str">
        <f t="shared" si="11"/>
        <v>International</v>
      </c>
    </row>
    <row r="165" spans="1:7" x14ac:dyDescent="0.2">
      <c r="A165" s="1" t="s">
        <v>164</v>
      </c>
      <c r="B165">
        <v>9</v>
      </c>
      <c r="C165">
        <v>31</v>
      </c>
      <c r="D165">
        <f t="shared" si="8"/>
        <v>40</v>
      </c>
      <c r="E165" s="2">
        <f t="shared" si="9"/>
        <v>0.22500000000000001</v>
      </c>
      <c r="F165" s="2">
        <f t="shared" si="10"/>
        <v>0.77500000000000002</v>
      </c>
      <c r="G165" t="str">
        <f t="shared" si="11"/>
        <v>International</v>
      </c>
    </row>
    <row r="166" spans="1:7" x14ac:dyDescent="0.2">
      <c r="A166" s="1" t="s">
        <v>165</v>
      </c>
      <c r="B166">
        <v>34</v>
      </c>
      <c r="C166">
        <v>57</v>
      </c>
      <c r="D166">
        <f t="shared" si="8"/>
        <v>91</v>
      </c>
      <c r="E166" s="2">
        <f t="shared" si="9"/>
        <v>0.37362637362637363</v>
      </c>
      <c r="F166" s="2">
        <f t="shared" si="10"/>
        <v>0.62637362637362637</v>
      </c>
      <c r="G166" t="str">
        <f t="shared" si="11"/>
        <v>International</v>
      </c>
    </row>
    <row r="167" spans="1:7" x14ac:dyDescent="0.2">
      <c r="A167" s="1" t="s">
        <v>166</v>
      </c>
      <c r="B167">
        <v>41</v>
      </c>
      <c r="C167">
        <v>66</v>
      </c>
      <c r="D167">
        <f t="shared" si="8"/>
        <v>107</v>
      </c>
      <c r="E167" s="2">
        <f t="shared" si="9"/>
        <v>0.38317757009345793</v>
      </c>
      <c r="F167" s="2">
        <f t="shared" si="10"/>
        <v>0.61682242990654201</v>
      </c>
      <c r="G167" t="str">
        <f t="shared" si="11"/>
        <v>International</v>
      </c>
    </row>
    <row r="168" spans="1:7" x14ac:dyDescent="0.2">
      <c r="A168" s="1" t="s">
        <v>167</v>
      </c>
      <c r="B168">
        <v>16</v>
      </c>
      <c r="C168">
        <v>14</v>
      </c>
      <c r="D168">
        <f t="shared" si="8"/>
        <v>30</v>
      </c>
      <c r="E168" s="2">
        <f t="shared" si="9"/>
        <v>0.53333333333333333</v>
      </c>
      <c r="F168" s="2">
        <f t="shared" si="10"/>
        <v>0.46666666666666667</v>
      </c>
      <c r="G168" t="str">
        <f t="shared" si="11"/>
        <v>Domestic</v>
      </c>
    </row>
    <row r="169" spans="1:7" x14ac:dyDescent="0.2">
      <c r="A169" s="1" t="s">
        <v>168</v>
      </c>
      <c r="B169">
        <v>22</v>
      </c>
      <c r="C169">
        <v>26</v>
      </c>
      <c r="D169">
        <f t="shared" si="8"/>
        <v>48</v>
      </c>
      <c r="E169" s="2">
        <f t="shared" si="9"/>
        <v>0.45833333333333331</v>
      </c>
      <c r="F169" s="2">
        <f t="shared" si="10"/>
        <v>0.54166666666666663</v>
      </c>
      <c r="G169" t="str">
        <f t="shared" si="11"/>
        <v>International</v>
      </c>
    </row>
    <row r="170" spans="1:7" x14ac:dyDescent="0.2">
      <c r="A170" s="1" t="s">
        <v>169</v>
      </c>
      <c r="B170">
        <v>29</v>
      </c>
      <c r="C170">
        <v>0</v>
      </c>
      <c r="D170">
        <f t="shared" si="8"/>
        <v>29</v>
      </c>
      <c r="E170" s="2">
        <f t="shared" si="9"/>
        <v>1</v>
      </c>
      <c r="F170" s="2">
        <f t="shared" si="10"/>
        <v>0</v>
      </c>
      <c r="G170" t="str">
        <f t="shared" si="11"/>
        <v>Domestic</v>
      </c>
    </row>
    <row r="171" spans="1:7" x14ac:dyDescent="0.2">
      <c r="A171" s="1" t="s">
        <v>170</v>
      </c>
      <c r="B171">
        <v>14</v>
      </c>
      <c r="C171">
        <v>0</v>
      </c>
      <c r="D171">
        <f t="shared" si="8"/>
        <v>14</v>
      </c>
      <c r="E171" s="2">
        <f t="shared" si="9"/>
        <v>1</v>
      </c>
      <c r="F171" s="2">
        <f t="shared" si="10"/>
        <v>0</v>
      </c>
      <c r="G171" t="str">
        <f t="shared" si="11"/>
        <v>Domestic</v>
      </c>
    </row>
    <row r="172" spans="1:7" x14ac:dyDescent="0.2">
      <c r="A172" s="1" t="s">
        <v>171</v>
      </c>
      <c r="B172">
        <v>6</v>
      </c>
      <c r="C172">
        <v>0</v>
      </c>
      <c r="D172">
        <f t="shared" si="8"/>
        <v>6</v>
      </c>
      <c r="E172" s="2">
        <f t="shared" si="9"/>
        <v>1</v>
      </c>
      <c r="F172" s="2">
        <f t="shared" si="10"/>
        <v>0</v>
      </c>
      <c r="G172" t="str">
        <f t="shared" si="11"/>
        <v>Domestic</v>
      </c>
    </row>
    <row r="173" spans="1:7" x14ac:dyDescent="0.2">
      <c r="A173" s="1" t="s">
        <v>172</v>
      </c>
      <c r="B173">
        <v>11</v>
      </c>
      <c r="C173">
        <v>0</v>
      </c>
      <c r="D173">
        <f t="shared" si="8"/>
        <v>11</v>
      </c>
      <c r="E173" s="2">
        <f t="shared" si="9"/>
        <v>1</v>
      </c>
      <c r="F173" s="2">
        <f t="shared" si="10"/>
        <v>0</v>
      </c>
      <c r="G173" t="str">
        <f t="shared" si="11"/>
        <v>Domestic</v>
      </c>
    </row>
    <row r="174" spans="1:7" x14ac:dyDescent="0.2">
      <c r="A174" s="1" t="s">
        <v>173</v>
      </c>
      <c r="B174">
        <v>37</v>
      </c>
      <c r="C174">
        <v>22</v>
      </c>
      <c r="D174">
        <f t="shared" si="8"/>
        <v>59</v>
      </c>
      <c r="E174" s="2">
        <f t="shared" si="9"/>
        <v>0.6271186440677966</v>
      </c>
      <c r="F174" s="2">
        <f t="shared" si="10"/>
        <v>0.3728813559322034</v>
      </c>
      <c r="G174" t="str">
        <f t="shared" si="11"/>
        <v>Domestic</v>
      </c>
    </row>
    <row r="175" spans="1:7" x14ac:dyDescent="0.2">
      <c r="A175" s="1" t="s">
        <v>174</v>
      </c>
      <c r="B175">
        <v>45</v>
      </c>
      <c r="C175">
        <v>34</v>
      </c>
      <c r="D175">
        <f t="shared" si="8"/>
        <v>79</v>
      </c>
      <c r="E175" s="2">
        <f t="shared" si="9"/>
        <v>0.569620253164557</v>
      </c>
      <c r="F175" s="2">
        <f t="shared" si="10"/>
        <v>0.43037974683544306</v>
      </c>
      <c r="G175" t="str">
        <f t="shared" si="11"/>
        <v>Domestic</v>
      </c>
    </row>
    <row r="176" spans="1:7" x14ac:dyDescent="0.2">
      <c r="A176" s="1" t="s">
        <v>175</v>
      </c>
      <c r="B176">
        <v>19</v>
      </c>
      <c r="C176">
        <v>46</v>
      </c>
      <c r="D176">
        <f t="shared" si="8"/>
        <v>65</v>
      </c>
      <c r="E176" s="2">
        <f t="shared" si="9"/>
        <v>0.29230769230769232</v>
      </c>
      <c r="F176" s="2">
        <f t="shared" si="10"/>
        <v>0.70769230769230773</v>
      </c>
      <c r="G176" t="str">
        <f t="shared" si="11"/>
        <v>International</v>
      </c>
    </row>
    <row r="177" spans="1:7" x14ac:dyDescent="0.2">
      <c r="A177" s="1" t="s">
        <v>176</v>
      </c>
      <c r="B177">
        <v>27</v>
      </c>
      <c r="C177">
        <v>59</v>
      </c>
      <c r="D177">
        <f t="shared" si="8"/>
        <v>86</v>
      </c>
      <c r="E177" s="2">
        <f t="shared" si="9"/>
        <v>0.31395348837209303</v>
      </c>
      <c r="F177" s="2">
        <f t="shared" si="10"/>
        <v>0.68604651162790697</v>
      </c>
      <c r="G177" t="str">
        <f t="shared" si="11"/>
        <v>International</v>
      </c>
    </row>
    <row r="178" spans="1:7" x14ac:dyDescent="0.2">
      <c r="A178" s="1" t="s">
        <v>177</v>
      </c>
      <c r="B178">
        <v>33</v>
      </c>
      <c r="C178">
        <v>64</v>
      </c>
      <c r="D178">
        <f t="shared" si="8"/>
        <v>97</v>
      </c>
      <c r="E178" s="2">
        <f t="shared" si="9"/>
        <v>0.34020618556701032</v>
      </c>
      <c r="F178" s="2">
        <f t="shared" si="10"/>
        <v>0.65979381443298968</v>
      </c>
      <c r="G178" t="str">
        <f t="shared" si="11"/>
        <v>International</v>
      </c>
    </row>
    <row r="179" spans="1:7" x14ac:dyDescent="0.2">
      <c r="A179" s="1" t="s">
        <v>178</v>
      </c>
      <c r="B179">
        <v>8</v>
      </c>
      <c r="C179">
        <v>77</v>
      </c>
      <c r="D179">
        <f t="shared" si="8"/>
        <v>85</v>
      </c>
      <c r="E179" s="2">
        <f t="shared" si="9"/>
        <v>9.4117647058823528E-2</v>
      </c>
      <c r="F179" s="2">
        <f t="shared" si="10"/>
        <v>0.90588235294117647</v>
      </c>
      <c r="G179" t="str">
        <f t="shared" si="11"/>
        <v>International</v>
      </c>
    </row>
    <row r="180" spans="1:7" x14ac:dyDescent="0.2">
      <c r="A180" s="1" t="s">
        <v>179</v>
      </c>
      <c r="B180">
        <v>15</v>
      </c>
      <c r="C180">
        <v>91</v>
      </c>
      <c r="D180">
        <f t="shared" si="8"/>
        <v>106</v>
      </c>
      <c r="E180" s="2">
        <f t="shared" si="9"/>
        <v>0.14150943396226415</v>
      </c>
      <c r="F180" s="2">
        <f t="shared" si="10"/>
        <v>0.85849056603773588</v>
      </c>
      <c r="G180" t="str">
        <f t="shared" si="11"/>
        <v>International</v>
      </c>
    </row>
    <row r="181" spans="1:7" x14ac:dyDescent="0.2">
      <c r="A181" s="1" t="s">
        <v>180</v>
      </c>
      <c r="B181">
        <v>21</v>
      </c>
      <c r="C181">
        <v>7</v>
      </c>
      <c r="D181">
        <f t="shared" si="8"/>
        <v>28</v>
      </c>
      <c r="E181" s="2">
        <f t="shared" si="9"/>
        <v>0.75</v>
      </c>
      <c r="F181" s="2">
        <f t="shared" si="10"/>
        <v>0.25</v>
      </c>
      <c r="G181" t="str">
        <f t="shared" si="11"/>
        <v>Domestic</v>
      </c>
    </row>
    <row r="182" spans="1:7" x14ac:dyDescent="0.2">
      <c r="A182" s="1" t="s">
        <v>181</v>
      </c>
      <c r="B182">
        <v>28</v>
      </c>
      <c r="C182">
        <v>29</v>
      </c>
      <c r="D182">
        <f t="shared" si="8"/>
        <v>57</v>
      </c>
      <c r="E182" s="2">
        <f t="shared" si="9"/>
        <v>0.49122807017543857</v>
      </c>
      <c r="F182" s="2">
        <f t="shared" si="10"/>
        <v>0.50877192982456143</v>
      </c>
      <c r="G182" t="str">
        <f t="shared" si="11"/>
        <v>International</v>
      </c>
    </row>
    <row r="183" spans="1:7" x14ac:dyDescent="0.2">
      <c r="A183" s="1" t="s">
        <v>182</v>
      </c>
      <c r="B183">
        <v>39</v>
      </c>
      <c r="C183">
        <v>0</v>
      </c>
      <c r="D183">
        <f t="shared" si="8"/>
        <v>39</v>
      </c>
      <c r="E183" s="2">
        <f t="shared" si="9"/>
        <v>1</v>
      </c>
      <c r="F183" s="2">
        <f t="shared" si="10"/>
        <v>0</v>
      </c>
      <c r="G183" t="str">
        <f t="shared" si="11"/>
        <v>Domestic</v>
      </c>
    </row>
    <row r="184" spans="1:7" x14ac:dyDescent="0.2">
      <c r="A184" s="1" t="s">
        <v>183</v>
      </c>
      <c r="B184">
        <v>47</v>
      </c>
      <c r="C184">
        <v>0</v>
      </c>
      <c r="D184">
        <f t="shared" si="8"/>
        <v>47</v>
      </c>
      <c r="E184" s="2">
        <f t="shared" si="9"/>
        <v>1</v>
      </c>
      <c r="F184" s="2">
        <f t="shared" si="10"/>
        <v>0</v>
      </c>
      <c r="G184" t="str">
        <f t="shared" si="11"/>
        <v>Domestic</v>
      </c>
    </row>
    <row r="185" spans="1:7" x14ac:dyDescent="0.2">
      <c r="A185" s="1" t="s">
        <v>184</v>
      </c>
      <c r="B185">
        <v>10</v>
      </c>
      <c r="C185">
        <v>0</v>
      </c>
      <c r="D185">
        <f t="shared" si="8"/>
        <v>10</v>
      </c>
      <c r="E185" s="2">
        <f t="shared" si="9"/>
        <v>1</v>
      </c>
      <c r="F185" s="2">
        <f t="shared" si="10"/>
        <v>0</v>
      </c>
      <c r="G185" t="str">
        <f t="shared" si="11"/>
        <v>Domestic</v>
      </c>
    </row>
    <row r="186" spans="1:7" x14ac:dyDescent="0.2">
      <c r="A186" s="1" t="s">
        <v>185</v>
      </c>
      <c r="B186">
        <v>13</v>
      </c>
      <c r="C186">
        <v>0</v>
      </c>
      <c r="D186">
        <f t="shared" si="8"/>
        <v>13</v>
      </c>
      <c r="E186" s="2">
        <f t="shared" si="9"/>
        <v>1</v>
      </c>
      <c r="F186" s="2">
        <f t="shared" si="10"/>
        <v>0</v>
      </c>
      <c r="G186" t="str">
        <f t="shared" si="11"/>
        <v>Domestic</v>
      </c>
    </row>
    <row r="187" spans="1:7" x14ac:dyDescent="0.2">
      <c r="A187" s="1" t="s">
        <v>186</v>
      </c>
      <c r="B187">
        <v>17</v>
      </c>
      <c r="C187">
        <v>0</v>
      </c>
      <c r="D187">
        <f t="shared" si="8"/>
        <v>17</v>
      </c>
      <c r="E187" s="2">
        <f t="shared" si="9"/>
        <v>1</v>
      </c>
      <c r="F187" s="2">
        <f t="shared" si="10"/>
        <v>0</v>
      </c>
      <c r="G187" t="str">
        <f t="shared" si="11"/>
        <v>Domestic</v>
      </c>
    </row>
    <row r="188" spans="1:7" x14ac:dyDescent="0.2">
      <c r="A188" s="1" t="s">
        <v>187</v>
      </c>
      <c r="B188">
        <v>24</v>
      </c>
      <c r="C188">
        <v>0</v>
      </c>
      <c r="D188">
        <f t="shared" si="8"/>
        <v>24</v>
      </c>
      <c r="E188" s="2">
        <f t="shared" si="9"/>
        <v>1</v>
      </c>
      <c r="F188" s="2">
        <f t="shared" si="10"/>
        <v>0</v>
      </c>
      <c r="G188" t="str">
        <f t="shared" si="11"/>
        <v>Domestic</v>
      </c>
    </row>
    <row r="189" spans="1:7" x14ac:dyDescent="0.2">
      <c r="A189" s="1" t="s">
        <v>188</v>
      </c>
      <c r="B189">
        <v>31</v>
      </c>
      <c r="C189">
        <v>112</v>
      </c>
      <c r="D189">
        <f t="shared" si="8"/>
        <v>143</v>
      </c>
      <c r="E189" s="2">
        <f t="shared" si="9"/>
        <v>0.21678321678321677</v>
      </c>
      <c r="F189" s="2">
        <f t="shared" si="10"/>
        <v>0.78321678321678323</v>
      </c>
      <c r="G189" t="str">
        <f t="shared" si="11"/>
        <v>International</v>
      </c>
    </row>
    <row r="190" spans="1:7" x14ac:dyDescent="0.2">
      <c r="A190" s="1" t="s">
        <v>189</v>
      </c>
      <c r="B190">
        <v>36</v>
      </c>
      <c r="C190">
        <v>67</v>
      </c>
      <c r="D190">
        <f t="shared" si="8"/>
        <v>103</v>
      </c>
      <c r="E190" s="2">
        <f t="shared" si="9"/>
        <v>0.34951456310679613</v>
      </c>
      <c r="F190" s="2">
        <f t="shared" si="10"/>
        <v>0.65048543689320393</v>
      </c>
      <c r="G190" t="str">
        <f t="shared" si="11"/>
        <v>International</v>
      </c>
    </row>
    <row r="191" spans="1:7" x14ac:dyDescent="0.2">
      <c r="A191" s="1" t="s">
        <v>190</v>
      </c>
      <c r="B191">
        <v>42</v>
      </c>
      <c r="C191">
        <v>24</v>
      </c>
      <c r="D191">
        <f t="shared" si="8"/>
        <v>66</v>
      </c>
      <c r="E191" s="2">
        <f t="shared" si="9"/>
        <v>0.63636363636363635</v>
      </c>
      <c r="F191" s="2">
        <f t="shared" si="10"/>
        <v>0.36363636363636365</v>
      </c>
      <c r="G191" t="str">
        <f t="shared" si="11"/>
        <v>Domestic</v>
      </c>
    </row>
    <row r="192" spans="1:7" x14ac:dyDescent="0.2">
      <c r="A192" s="1" t="s">
        <v>191</v>
      </c>
      <c r="B192">
        <v>5</v>
      </c>
      <c r="C192">
        <v>16</v>
      </c>
      <c r="D192">
        <f t="shared" si="8"/>
        <v>21</v>
      </c>
      <c r="E192" s="2">
        <f t="shared" si="9"/>
        <v>0.23809523809523808</v>
      </c>
      <c r="F192" s="2">
        <f t="shared" si="10"/>
        <v>0.76190476190476186</v>
      </c>
      <c r="G192" t="str">
        <f t="shared" si="11"/>
        <v>International</v>
      </c>
    </row>
    <row r="193" spans="1:7" x14ac:dyDescent="0.2">
      <c r="A193" s="1" t="s">
        <v>192</v>
      </c>
      <c r="B193">
        <v>20</v>
      </c>
      <c r="C193">
        <v>0</v>
      </c>
      <c r="D193">
        <f t="shared" si="8"/>
        <v>20</v>
      </c>
      <c r="E193" s="2">
        <f t="shared" si="9"/>
        <v>1</v>
      </c>
      <c r="F193" s="2">
        <f t="shared" si="10"/>
        <v>0</v>
      </c>
      <c r="G193" t="str">
        <f t="shared" si="11"/>
        <v>Domestic</v>
      </c>
    </row>
    <row r="194" spans="1:7" x14ac:dyDescent="0.2">
      <c r="A194" s="1" t="s">
        <v>193</v>
      </c>
      <c r="B194">
        <v>26</v>
      </c>
      <c r="C194">
        <v>0</v>
      </c>
      <c r="D194">
        <f t="shared" si="8"/>
        <v>26</v>
      </c>
      <c r="E194" s="2">
        <f t="shared" si="9"/>
        <v>1</v>
      </c>
      <c r="F194" s="2">
        <f t="shared" si="10"/>
        <v>0</v>
      </c>
      <c r="G194" t="str">
        <f t="shared" si="11"/>
        <v>Domestic</v>
      </c>
    </row>
    <row r="195" spans="1:7" x14ac:dyDescent="0.2">
      <c r="A195" s="1" t="s">
        <v>194</v>
      </c>
      <c r="B195">
        <v>30</v>
      </c>
      <c r="C195">
        <v>0</v>
      </c>
      <c r="D195">
        <f t="shared" ref="D195:D201" si="12">B195+C195</f>
        <v>30</v>
      </c>
      <c r="E195" s="2">
        <f t="shared" ref="E195:E201" si="13">B195/D195</f>
        <v>1</v>
      </c>
      <c r="F195" s="2">
        <f t="shared" ref="F195:F201" si="14">C195/D195</f>
        <v>0</v>
      </c>
      <c r="G195" t="str">
        <f t="shared" ref="G195:G201" si="15">IF(F195&gt;E195,"International","Domestic")</f>
        <v>Domestic</v>
      </c>
    </row>
    <row r="196" spans="1:7" x14ac:dyDescent="0.2">
      <c r="A196" s="1" t="s">
        <v>195</v>
      </c>
      <c r="B196">
        <v>35</v>
      </c>
      <c r="C196">
        <v>83</v>
      </c>
      <c r="D196">
        <f t="shared" si="12"/>
        <v>118</v>
      </c>
      <c r="E196" s="2">
        <f t="shared" si="13"/>
        <v>0.29661016949152541</v>
      </c>
      <c r="F196" s="2">
        <f t="shared" si="14"/>
        <v>0.70338983050847459</v>
      </c>
      <c r="G196" t="str">
        <f t="shared" si="15"/>
        <v>International</v>
      </c>
    </row>
    <row r="197" spans="1:7" x14ac:dyDescent="0.2">
      <c r="A197" s="1" t="s">
        <v>196</v>
      </c>
      <c r="B197">
        <v>44</v>
      </c>
      <c r="C197">
        <v>95</v>
      </c>
      <c r="D197">
        <f t="shared" si="12"/>
        <v>139</v>
      </c>
      <c r="E197" s="2">
        <f t="shared" si="13"/>
        <v>0.31654676258992803</v>
      </c>
      <c r="F197" s="2">
        <f t="shared" si="14"/>
        <v>0.68345323741007191</v>
      </c>
      <c r="G197" t="str">
        <f t="shared" si="15"/>
        <v>International</v>
      </c>
    </row>
    <row r="198" spans="1:7" x14ac:dyDescent="0.2">
      <c r="A198" s="1" t="s">
        <v>197</v>
      </c>
      <c r="B198">
        <v>48</v>
      </c>
      <c r="C198">
        <v>107</v>
      </c>
      <c r="D198">
        <f t="shared" si="12"/>
        <v>155</v>
      </c>
      <c r="E198" s="2">
        <f t="shared" si="13"/>
        <v>0.30967741935483872</v>
      </c>
      <c r="F198" s="2">
        <f t="shared" si="14"/>
        <v>0.69032258064516128</v>
      </c>
      <c r="G198" t="str">
        <f t="shared" si="15"/>
        <v>International</v>
      </c>
    </row>
    <row r="199" spans="1:7" x14ac:dyDescent="0.2">
      <c r="A199" s="1" t="s">
        <v>198</v>
      </c>
      <c r="B199">
        <v>60</v>
      </c>
      <c r="C199">
        <v>33</v>
      </c>
      <c r="D199">
        <f t="shared" si="12"/>
        <v>93</v>
      </c>
      <c r="E199" s="2">
        <f t="shared" si="13"/>
        <v>0.64516129032258063</v>
      </c>
      <c r="F199" s="2">
        <f t="shared" si="14"/>
        <v>0.35483870967741937</v>
      </c>
      <c r="G199" t="str">
        <f t="shared" si="15"/>
        <v>Domestic</v>
      </c>
    </row>
    <row r="200" spans="1:7" x14ac:dyDescent="0.2">
      <c r="A200" s="1" t="s">
        <v>199</v>
      </c>
      <c r="B200">
        <v>38</v>
      </c>
      <c r="C200">
        <v>28</v>
      </c>
      <c r="D200">
        <f t="shared" si="12"/>
        <v>66</v>
      </c>
      <c r="E200" s="2">
        <f t="shared" si="13"/>
        <v>0.5757575757575758</v>
      </c>
      <c r="F200" s="2">
        <f t="shared" si="14"/>
        <v>0.42424242424242425</v>
      </c>
      <c r="G200" t="str">
        <f t="shared" si="15"/>
        <v>Domestic</v>
      </c>
    </row>
    <row r="201" spans="1:7" x14ac:dyDescent="0.2">
      <c r="A201" s="1" t="s">
        <v>200</v>
      </c>
      <c r="B201">
        <v>14</v>
      </c>
      <c r="C201">
        <v>11</v>
      </c>
      <c r="D201">
        <f t="shared" si="12"/>
        <v>25</v>
      </c>
      <c r="E201" s="2">
        <f t="shared" si="13"/>
        <v>0.56000000000000005</v>
      </c>
      <c r="F201" s="2">
        <f t="shared" si="14"/>
        <v>0.44</v>
      </c>
      <c r="G201" t="str">
        <f t="shared" si="15"/>
        <v>Domestic</v>
      </c>
    </row>
    <row r="202" spans="1:7" x14ac:dyDescent="0.2">
      <c r="E202" s="2"/>
      <c r="F202" s="2"/>
    </row>
    <row r="203" spans="1:7" x14ac:dyDescent="0.2">
      <c r="E203" s="2"/>
    </row>
    <row r="204" spans="1:7" x14ac:dyDescent="0.2">
      <c r="E204" s="2"/>
    </row>
    <row r="205" spans="1:7" x14ac:dyDescent="0.2">
      <c r="E205" s="2"/>
    </row>
    <row r="206" spans="1:7" x14ac:dyDescent="0.2">
      <c r="E206" s="2"/>
    </row>
    <row r="207" spans="1:7" x14ac:dyDescent="0.2">
      <c r="E207" s="2"/>
    </row>
    <row r="208" spans="1:7" x14ac:dyDescent="0.2">
      <c r="E208" s="2"/>
    </row>
    <row r="209" spans="5:5" x14ac:dyDescent="0.2">
      <c r="E2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ajobamushia@gmail.com</dc:creator>
  <cp:lastModifiedBy>ajobamushia@gmail.com</cp:lastModifiedBy>
  <dcterms:created xsi:type="dcterms:W3CDTF">2026-01-28T17:54:25Z</dcterms:created>
  <dcterms:modified xsi:type="dcterms:W3CDTF">2026-01-31T10:57:04Z</dcterms:modified>
</cp:coreProperties>
</file>